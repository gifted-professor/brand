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d2f47583bc49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研究总览" sheetId="1" r:id="R8f2740f5916e48d7"/>
    <x:sheet xmlns:r="http://schemas.openxmlformats.org/officeDocument/2006/relationships" name="60个案例" sheetId="2" r:id="R73ee63d9b0424df9"/>
    <x:sheet xmlns:r="http://schemas.openxmlformats.org/officeDocument/2006/relationships" name="案例速览" sheetId="3" r:id="R27484752a59a4511"/>
    <x:sheet xmlns:r="http://schemas.openxmlformats.org/officeDocument/2006/relationships" name="20项调研维度" sheetId="4" r:id="Rdd949230b7054481"/>
    <x:sheet xmlns:r="http://schemas.openxmlformats.org/officeDocument/2006/relationships" name="执行与访谈" sheetId="5" r:id="Ra95d50cd7c9d4aeb"/>
    <x:sheet xmlns:r="http://schemas.openxmlformats.org/officeDocument/2006/relationships" name="合作评分卡" sheetId="6" r:id="R5b4e066538554ac2"/>
    <x:sheet xmlns:r="http://schemas.openxmlformats.org/officeDocument/2006/relationships" name="双方经济账" sheetId="7" r:id="R3e4c68a9efc1429f"/>
    <x:sheet xmlns:r="http://schemas.openxmlformats.org/officeDocument/2006/relationships" name="字段与证据" sheetId="8" r:id="R2c4c08c777204e2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"/>
    <x:numFmt numFmtId="201" formatCode="0%"/>
    <x:numFmt numFmtId="202" formatCode="#,##0.00;[Red](#,##0.00);&quot;-&quot;"/>
  </x:numFmts>
  <x:fonts count="11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sz val="10"/>
      <x:name val="Carlito"/>
    </x:font>
    <x:font>
      <x:sz val="10"/>
      <x:color rgb="FF0000FF"/>
      <x:name val="Carlito"/>
    </x:font>
    <x:font>
      <x:sz val="11"/>
      <x:color rgb="FF0000FF"/>
      <x:name val="Carlito"/>
    </x:font>
    <x:font>
      <x:b/>
      <x:sz val="11"/>
      <x:name val="Carlito"/>
    </x:font>
    <x:font>
      <x:b/>
      <x:sz val="10"/>
      <x:name val="Carlito"/>
    </x:font>
    <x:font>
      <x:sz val="11"/>
      <x:color rgb="FFFFFFFF"/>
      <x:name val="Carlito"/>
    </x:font>
    <x:font>
      <x:b/>
      <x:sz val="22"/>
      <x:name val="Carlito"/>
    </x:font>
    <x:font>
      <x:b/>
      <x:sz val="14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42D44"/>
      </x:patternFill>
    </x:fill>
    <x:fill>
      <x:patternFill patternType="solid">
        <x:fgColor rgb="FFEAF4F5"/>
      </x:patternFill>
    </x:fill>
    <x:fill>
      <x:patternFill patternType="solid">
        <x:fgColor rgb="FF0E7C86"/>
      </x:patternFill>
    </x:fill>
    <x:fill>
      <x:patternFill patternType="solid">
        <x:fgColor rgb="FFFFF5CC"/>
      </x:patternFill>
    </x:fill>
    <x:fill>
      <x:patternFill patternType="solid">
        <x:fgColor rgb="FFF2F5F8"/>
      </x:patternFill>
    </x:fill>
    <x:fill>
      <x:patternFill patternType="solid">
        <x:fgColor rgb="FFFFFFFF"/>
      </x:patternFill>
    </x:fill>
    <x:fill>
      <x:patternFill patternType="solid">
        <x:fgColor rgb="FFFFF0D6"/>
      </x:patternFill>
    </x:fill>
  </x:fills>
  <x:borders count="2">
    <x:border/>
    <x:border/>
  </x:borders>
  <x:cellStyleXfs count="1">
    <x:xf numFmtId="0" fontId="0" fillId="0" borderId="0"/>
  </x:cellStyleXfs>
  <x:cellXfs count="10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0" fillId="3" borderId="1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 wrapText="1"/>
    </x:xf>
    <x:xf numFmtId="200" fontId="3" fillId="0" borderId="0" xfId="0" applyNumberFormat="1" applyFont="1" applyFill="1" applyBorder="1" applyAlignment="1">
      <x:alignment vertical="top" wrapText="1"/>
    </x:xf>
    <x:xf numFmtId="200" fontId="3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1" fontId="0" fillId="3" borderId="0" xfId="0" applyNumberFormat="1" applyFont="1" applyFill="1" applyBorder="1"/>
    <x:xf numFmtId="201" fontId="0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201" fontId="5" fillId="5" borderId="0" xfId="0" applyNumberFormat="1" applyFont="1" applyFill="1" applyBorder="1"/>
    <x:xf numFmtId="201" fontId="5" fillId="5" borderId="1" xfId="0" applyNumberFormat="1" applyFont="1" applyFill="1" applyBorder="1"/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  <x:xf numFmtId="0" fontId="6" fillId="3" borderId="1" xfId="0" applyNumberFormat="1" applyFont="1" applyFill="1" applyBorder="1"/>
    <x:xf numFmtId="0" fontId="6" fillId="3" borderId="1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vertical="top" wrapText="1"/>
    </x:xf>
    <x:xf numFmtId="0" fontId="3" fillId="5" borderId="1" xfId="0" applyNumberFormat="1" applyFont="1" applyFill="1" applyBorder="1" applyAlignment="1">
      <x:alignment vertical="top" wrapText="1"/>
    </x:xf>
    <x:xf numFmtId="202" fontId="4" fillId="5" borderId="0" xfId="0" applyNumberFormat="1" applyFont="1" applyFill="1" applyBorder="1" applyAlignment="1">
      <x:alignment vertical="top" wrapText="1"/>
    </x:xf>
    <x:xf numFmtId="202" fontId="3" fillId="0" borderId="0" xfId="0" applyNumberFormat="1" applyFont="1" applyFill="1" applyBorder="1" applyAlignment="1">
      <x:alignment vertical="top" wrapText="1"/>
    </x:xf>
    <x:xf numFmtId="202" fontId="4" fillId="5" borderId="1" xfId="0" applyNumberFormat="1" applyFont="1" applyFill="1" applyBorder="1" applyAlignment="1">
      <x:alignment vertical="top" wrapText="1"/>
    </x:xf>
    <x:xf numFmtId="202" fontId="3" fillId="0" borderId="1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202" fontId="3" fillId="3" borderId="0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vertical="top" wrapText="1"/>
    </x:xf>
    <x:xf numFmtId="202" fontId="3" fillId="3" borderId="1" xfId="0" applyNumberFormat="1" applyFont="1" applyFill="1" applyBorder="1" applyAlignment="1">
      <x:alignment vertical="top" wrapText="1"/>
    </x:xf>
    <x:xf numFmtId="0" fontId="7" fillId="3" borderId="0" xfId="0" applyNumberFormat="1" applyFont="1" applyFill="1" applyBorder="1" applyAlignment="1">
      <x:alignment vertical="top" wrapText="1"/>
    </x:xf>
    <x:xf numFmtId="202" fontId="7" fillId="3" borderId="0" xfId="0" applyNumberFormat="1" applyFont="1" applyFill="1" applyBorder="1" applyAlignment="1">
      <x:alignment vertical="top" wrapText="1"/>
    </x:xf>
    <x:xf numFmtId="0" fontId="7" fillId="3" borderId="1" xfId="0" applyNumberFormat="1" applyFont="1" applyFill="1" applyBorder="1" applyAlignment="1">
      <x:alignment vertical="top" wrapText="1"/>
    </x:xf>
    <x:xf numFmtId="202" fontId="7" fillId="3" borderId="1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wrapText="1"/>
    </x:xf>
    <x:xf numFmtId="0" fontId="8" fillId="2" borderId="1" xfId="0" applyNumberFormat="1" applyFont="1" applyFill="1" applyBorder="1"/>
    <x:xf numFmtId="0" fontId="8" fillId="2" borderId="1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wrapText="1"/>
    </x:xf>
    <x:xf numFmtId="202" fontId="5" fillId="5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2" fontId="5" fillId="5" borderId="1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0" fontId="9" fillId="3" borderId="0" xfId="0" applyNumberFormat="1" applyFont="1" applyFill="1" applyBorder="1"/>
    <x:xf numFmtId="0" fontId="9" fillId="3" borderId="0" xfId="0" applyNumberFormat="1" applyFont="1" applyFill="1" applyBorder="1" applyAlignment="1">
      <x:alignment horizontal="center"/>
    </x:xf>
    <x:xf numFmtId="0" fontId="9" fillId="3" borderId="0" xfId="0" applyNumberFormat="1" applyFont="1" applyFill="1" applyBorder="1" applyAlignment="1">
      <x:alignment horizontal="center" vertical="center"/>
    </x:xf>
    <x:xf numFmtId="0" fontId="9" fillId="3" borderId="1" xfId="0" applyNumberFormat="1" applyFont="1" applyFill="1" applyBorder="1"/>
    <x:xf numFmtId="0" fontId="9" fillId="3" borderId="1" xfId="0" applyNumberFormat="1" applyFont="1" applyFill="1" applyBorder="1" applyAlignment="1">
      <x:alignment horizontal="center"/>
    </x:xf>
    <x:xf numFmtId="0" fontId="9" fillId="3" borderId="1" xfId="0" applyNumberFormat="1" applyFont="1" applyFill="1" applyBorder="1" applyAlignment="1">
      <x:alignment horizontal="center" vertical="center"/>
    </x:xf>
    <x:xf numFmtId="0" fontId="10" fillId="3" borderId="0" xfId="0" applyNumberFormat="1" applyFont="1" applyFill="1" applyBorder="1" applyAlignment="1">
      <x:alignment horizontal="center" vertical="center"/>
    </x:xf>
    <x:xf numFmtId="0" fontId="10" fillId="3" borderId="1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/>
    <x:xf numFmtId="0" fontId="0" fillId="6" borderId="1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0" fillId="7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vertical="center" wrapText="1"/>
    </x:xf>
    <x:xf numFmtId="0" fontId="0" fillId="7" borderId="1" xfId="0" applyNumberFormat="1" applyFont="1" applyFill="1" applyBorder="1"/>
    <x:xf numFmtId="0" fontId="0" fillId="7" borderId="1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0" fillId="8" borderId="0" xfId="0" applyNumberFormat="1" applyFont="1" applyFill="1" applyBorder="1" applyAlignment="1">
      <x:alignment wrapText="1"/>
    </x:xf>
  </x:cellXfs>
  <x:cellStyles count="1">
    <x:cellStyle name="Normal" xfId="0"/>
  </x:cellStyles>
  <x:dxfs count="7">
    <x:dxf>
      <x:fill>
        <x:patternFill patternType="solid">
          <x:bgColor rgb="FFDDF2E8"/>
        </x:patternFill>
      </x:fill>
    </x:dxf>
    <x:dxf>
      <x:fill>
        <x:patternFill patternType="solid">
          <x:bgColor rgb="FFE4F1FA"/>
        </x:patternFill>
      </x:fill>
    </x:dxf>
    <x:dxf>
      <x:fill>
        <x:patternFill patternType="solid">
          <x:bgColor rgb="FFF1F5F9"/>
        </x:patternFill>
      </x:fill>
    </x:dxf>
    <x:dxf>
      <x:fill>
        <x:patternFill patternType="solid">
          <x:bgColor rgb="FFFBE4E1"/>
        </x:patternFill>
      </x:fill>
    </x:dxf>
    <x:dxf>
      <x:fill>
        <x:patternFill patternType="solid">
          <x:bgColor rgb="FFFFF0D6"/>
        </x:patternFill>
      </x:fill>
    </x:dxf>
    <x:dxf>
      <x:fill>
        <x:patternFill patternType="solid">
          <x:bgColor rgb="FFFBE4E1"/>
        </x:patternFill>
      </x:fill>
    </x:dxf>
    <x:dxf>
      <x:fill>
        <x:patternFill patternType="solid">
          <x:bgColor rgb="FFFBE4E1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9972882e224d2d" /><Relationship Type="http://schemas.openxmlformats.org/officeDocument/2006/relationships/theme" Target="/xl/theme/theme1.xml" Id="R280157f0c8354c47" /><Relationship Type="http://schemas.openxmlformats.org/officeDocument/2006/relationships/sharedStrings" Target="/xl/sharedStrings.xml" Id="R27bb64b5b2914b24" /><Relationship Type="http://schemas.openxmlformats.org/officeDocument/2006/relationships/worksheet" Target="/xl/worksheets/sheet1.xml" Id="R8f2740f5916e48d7" /><Relationship Type="http://schemas.openxmlformats.org/officeDocument/2006/relationships/worksheet" Target="/xl/worksheets/sheet2.xml" Id="R73ee63d9b0424df9" /><Relationship Type="http://schemas.openxmlformats.org/officeDocument/2006/relationships/worksheet" Target="/xl/worksheets/sheet3.xml" Id="R27484752a59a4511" /><Relationship Type="http://schemas.openxmlformats.org/officeDocument/2006/relationships/worksheet" Target="/xl/worksheets/sheet4.xml" Id="Rdd949230b7054481" /><Relationship Type="http://schemas.openxmlformats.org/officeDocument/2006/relationships/worksheet" Target="/xl/worksheets/sheet5.xml" Id="Ra95d50cd7c9d4aeb" /><Relationship Type="http://schemas.openxmlformats.org/officeDocument/2006/relationships/worksheet" Target="/xl/worksheets/sheet6.xml" Id="R5b4e066538554ac2" /><Relationship Type="http://schemas.openxmlformats.org/officeDocument/2006/relationships/worksheet" Target="/xl/worksheets/sheet7.xml" Id="R3e4c68a9efc1429f" /><Relationship Type="http://schemas.openxmlformats.org/officeDocument/2006/relationships/worksheet" Target="/xl/worksheets/sheet8.xml" Id="R2c4c08c777204e26" /></Relationships>
</file>

<file path=xl/tables/table1.xml><?xml version="1.0" encoding="utf-8"?>
<x:table xmlns:x="http://schemas.openxmlformats.org/spreadsheetml/2006/main" id="1" name="CaseResearch" displayName="CaseResearch" ref="A5:R65" headerRowCount="1" totalsRowCount="0" totalsRowShown="0">
  <x:tableColumns count="18">
    <x:tableColumn id="1" name="编号"/>
    <x:tableColumn id="2" name="品牌A"/>
    <x:tableColumn id="3" name="品牌B或合作方"/>
    <x:tableColumn id="4" name="年份与关键节点"/>
    <x:tableColumn id="5" name="主要市场"/>
    <x:tableColumn id="6" name="合作类型"/>
    <x:tableColumn id="7" name="最终产物"/>
    <x:tableColumn id="8" name="公开结果（事实）"/>
    <x:tableColumn id="9" name="结果分类"/>
    <x:tableColumn id="10" name="证据性质"/>
    <x:tableColumn id="11" name="结果观测窗口"/>
    <x:tableColumn id="12" name="可借鉴机制或失败解释（分析）"/>
    <x:tableColumn id="13" name="风险与不可直接照搬之处（分析）"/>
    <x:tableColumn id="14" name="仍缺少的证据"/>
    <x:tableColumn id="15" name="重点调研维度"/>
    <x:tableColumn id="16" name="来源1"/>
    <x:tableColumn id="17" name="来源2"/>
    <x:tableColumn id="18" name="核验日期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aseQuickView" displayName="CaseQuickView" ref="A5:F65" headerRowCount="1" totalsRowCount="0" totalsRowShown="0">
  <x:tableColumns count="6">
    <x:tableColumn id="1" name="编号"/>
    <x:tableColumn id="2" name="合作双方"/>
    <x:tableColumn id="3" name="最终产物"/>
    <x:tableColumn id="4" name="结果分类"/>
    <x:tableColumn id="5" name="公开结果｜有据事实"/>
    <x:tableColumn id="6" name="机制与原因｜研究者分析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esearchDimensions" displayName="ResearchDimensions" ref="A5:G25" headerRowCount="1" totalsRowCount="0" totalsRowShown="0">
  <x:tableColumns count="7">
    <x:tableColumn id="1" name="编号"/>
    <x:tableColumn id="2" name="维度"/>
    <x:tableColumn id="3" name="核心问题"/>
    <x:tableColumn id="4" name="资料与访谈对象"/>
    <x:tableColumn id="5" name="应形成的交付物"/>
    <x:tableColumn id="6" name="危险信号"/>
    <x:tableColumn id="7" name="对应案例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esearchWorkflow" displayName="ResearchWorkflow" ref="A5:E14" headerRowCount="1" totalsRowCount="0" totalsRowShown="0">
  <x:tableColumns count="5">
    <x:tableColumn id="1" name="阶段"/>
    <x:tableColumn id="2" name="任务"/>
    <x:tableColumn id="3" name="具体动作"/>
    <x:tableColumn id="4" name="交付物"/>
    <x:tableColumn id="5" name="检查点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InterviewQuestions" displayName="InterviewQuestions" ref="A19:D34" headerRowCount="1" totalsRowCount="0" totalsRowShown="0">
  <x:tableColumns count="4">
    <x:tableColumn id="1" name="对象"/>
    <x:tableColumn id="2" name="访谈问题"/>
    <x:tableColumn id="3" name="真正要核对的内容"/>
    <x:tableColumn id="4" name="对应产出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PartnerScorecard" displayName="PartnerScorecard" ref="A5:H17" headerRowCount="1" totalsRowCount="0" totalsRowShown="0">
  <x:tableColumns count="8">
    <x:tableColumn id="1" name="比较维度"/>
    <x:tableColumn id="2" name="权重"/>
    <x:tableColumn id="3" name="评分0—5"/>
    <x:tableColumn id="4" name="证据状态"/>
    <x:tableColumn id="5" name="加权分"/>
    <x:tableColumn id="6" name="评分依据"/>
    <x:tableColumn id="7" name="负责人"/>
    <x:tableColumn id="8" name="下一步补证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woPartyEconomics" displayName="TwoPartyEconomics" ref="A5:F21" headerRowCount="1" totalsRowCount="0" totalsRowShown="0">
  <x:tableColumns count="6">
    <x:tableColumn id="1" name="项目"/>
    <x:tableColumn id="2" name="单位"/>
    <x:tableColumn id="3" name="品牌A"/>
    <x:tableColumn id="4" name="品牌B"/>
    <x:tableColumn id="5" name="项目合计/抵销后"/>
    <x:tableColumn id="6" name="定义与输入依据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DataDictionary" displayName="DataDictionary" ref="A5:F13" headerRowCount="1" totalsRowCount="0" totalsRowShown="0">
  <x:tableColumns count="6">
    <x:tableColumn id="1" name="实体"/>
    <x:tableColumn id="2" name="关键字段"/>
    <x:tableColumn id="3" name="入库要求"/>
    <x:tableColumn id="4" name="证据来源"/>
    <x:tableColumn id="5" name="限制"/>
    <x:tableColumn id="6" name="常见错误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0e99a8b026b413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f483bfeb58146d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77866fe9dd4437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5cb7f4096b44780" /><Relationship Type="http://schemas.openxmlformats.org/officeDocument/2006/relationships/table" Target="/xl/tables/table5.xml" Id="R430dd91ae3ff43b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aa91d07713ec4e5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9aa17144885146a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528be7a880c24d1a" /></Relationships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34" customHeight="1">
      <x:c r="A1" s="3" t="str">
        <x:v>品牌联名｜案例研究与合作尽调工作台</x:v>
      </x:c>
      <x:c r="B1" s="3"/>
      <x:c r="C1" s="3"/>
      <x:c r="D1" s="3"/>
      <x:c r="E1" s="3"/>
      <x:c r="F1" s="3"/>
      <x:c r="G1" s="3"/>
      <x:c r="H1" s="3"/>
    </x:row>
    <x:row r="2" ht="22" customHeight="1">
      <x:c r="A2" s="8" t="str">
        <x:v>60个案例 · 20个研究维度 · 12项加权评分 · 双边经济测算。把“真实发生了什么”与“为什么可能有效”分开记录。</x:v>
      </x:c>
      <x:c r="B2" s="8"/>
      <x:c r="C2" s="8"/>
      <x:c r="D2" s="8"/>
      <x:c r="E2" s="8"/>
      <x:c r="F2" s="8"/>
      <x:c r="G2" s="8"/>
      <x:c r="H2" s="8"/>
    </x:row>
    <x:row r="3" ht="22" customHeight="1">
      <x:c r="A3" s="8"/>
      <x:c r="B3" s="8"/>
      <x:c r="C3" s="8"/>
      <x:c r="D3" s="8"/>
      <x:c r="E3" s="8"/>
      <x:c r="F3" s="8"/>
      <x:c r="G3" s="8"/>
      <x:c r="H3" s="8"/>
    </x:row>
    <x:row r="5" ht="26" customHeight="1">
      <x:c r="A5" s="13" t="str">
        <x:v>案例记录</x:v>
      </x:c>
      <x:c r="B5" s="13"/>
      <x:c r="C5" s="13" t="str">
        <x:v>调研维度</x:v>
      </x:c>
      <x:c r="D5" s="13"/>
      <x:c r="E5" s="13" t="str">
        <x:v>评分指标</x:v>
      </x:c>
      <x:c r="F5" s="13"/>
      <x:c r="G5" s="13" t="str">
        <x:v>核验日期</x:v>
      </x:c>
      <x:c r="H5" s="13"/>
    </x:row>
    <x:row r="6">
      <x:c r="A6" s="80" t="n">
        <x:f>COUNTA('60个案例'!A6:A65)</x:f>
        <x:v>60</x:v>
      </x:c>
      <x:c r="B6" s="80"/>
      <x:c r="C6" s="80" t="n">
        <x:f>COUNTA('20项调研维度'!A6:A25)</x:f>
        <x:v>20</x:v>
      </x:c>
      <x:c r="D6" s="80"/>
      <x:c r="E6" s="80" t="n">
        <x:f>COUNTA('合作评分卡'!A6:A17)</x:f>
        <x:v>12</x:v>
      </x:c>
      <x:c r="F6" s="80"/>
      <x:c r="G6" s="84" t="str">
        <x:v>2026-09-05</x:v>
      </x:c>
      <x:c r="H6" s="84"/>
    </x:row>
    <x:row r="7">
      <x:c r="A7" s="80"/>
      <x:c r="B7" s="80"/>
      <x:c r="C7" s="80"/>
      <x:c r="D7" s="80"/>
      <x:c r="E7" s="80"/>
      <x:c r="F7" s="80"/>
      <x:c r="G7" s="84"/>
      <x:c r="H7" s="84"/>
    </x:row>
    <x:row r="9" ht="26" customHeight="1">
      <x:c r="A9" s="26" t="str">
        <x:v>结果分类</x:v>
      </x:c>
      <x:c r="B9" s="26"/>
      <x:c r="C9" s="26"/>
      <x:c r="D9" s="26"/>
      <x:c r="E9" s="26" t="str">
        <x:v>数量</x:v>
      </x:c>
      <x:c r="F9" s="26" t="str">
        <x:v>解释边界</x:v>
      </x:c>
      <x:c r="G9" s="26"/>
      <x:c r="H9" s="26"/>
    </x:row>
    <x:row r="10" ht="44" customHeight="1">
      <x:c r="A10" s="88" t="str">
        <x:v>销售表现有据</x:v>
      </x:c>
      <x:c r="B10" s="88"/>
      <x:c r="C10" s="88"/>
      <x:c r="D10" s="88"/>
      <x:c r="E10" s="88" t="n">
        <x:f>COUNTIF('60个案例'!I6:I65,A10)</x:f>
        <x:v>15</x:v>
      </x:c>
      <x:c r="F10" s="88" t="str">
        <x:v>销量、销售额、出货或售罄有据；不是利润证明。</x:v>
      </x:c>
      <x:c r="G10" s="88"/>
      <x:c r="H10" s="88"/>
    </x:row>
    <x:row r="11" ht="44" customHeight="1">
      <x:c r="A11" s="94" t="str">
        <x:v>合作延续有据</x:v>
      </x:c>
      <x:c r="B11" s="94"/>
      <x:c r="C11" s="94"/>
      <x:c r="D11" s="94"/>
      <x:c r="E11" s="94" t="n">
        <x:f>COUNTIF('60个案例'!I6:I65,A11)</x:f>
        <x:v>7</x:v>
      </x:c>
      <x:c r="F11" s="94" t="str">
        <x:v>重复系列或跨年合作有据；不是每期都盈利。</x:v>
      </x:c>
      <x:c r="G11" s="94"/>
      <x:c r="H11" s="94"/>
    </x:row>
    <x:row r="12" ht="44" customHeight="1">
      <x:c r="A12" s="88" t="str">
        <x:v>产品机制参考</x:v>
      </x:c>
      <x:c r="B12" s="88"/>
      <x:c r="C12" s="88"/>
      <x:c r="D12" s="88"/>
      <x:c r="E12" s="88" t="n">
        <x:f>COUNTIF('60个案例'!I6:I65,A12)</x:f>
        <x:v>20</x:v>
      </x:c>
      <x:c r="F12" s="88" t="str">
        <x:v>产物落地可确认，商业效果不足以判定。</x:v>
      </x:c>
      <x:c r="G12" s="88"/>
      <x:c r="H12" s="88"/>
    </x:row>
    <x:row r="13" ht="44" customHeight="1">
      <x:c r="A13" s="94" t="str">
        <x:v>商业受挫</x:v>
      </x:c>
      <x:c r="B13" s="94"/>
      <x:c r="C13" s="94"/>
      <x:c r="D13" s="94"/>
      <x:c r="E13" s="94" t="n">
        <x:f>COUNTIF('60个案例'!I6:I65,A13)</x:f>
        <x:v>5</x:v>
      </x:c>
      <x:c r="F13" s="94" t="str">
        <x:v>销售或单位经济存在较明确受挫证据。</x:v>
      </x:c>
      <x:c r="G13" s="94"/>
      <x:c r="H13" s="94"/>
    </x:row>
    <x:row r="14" ht="44" customHeight="1">
      <x:c r="A14" s="88" t="str">
        <x:v>风险与混合结果</x:v>
      </x:c>
      <x:c r="B14" s="88"/>
      <x:c r="C14" s="88"/>
      <x:c r="D14" s="88"/>
      <x:c r="E14" s="88" t="n">
        <x:f>COUNTIF('60个案例'!I6:I65,A14)</x:f>
        <x:v>13</x:v>
      </x:c>
      <x:c r="F14" s="88" t="str">
        <x:v>履约、声誉、权利、治理或退出；不全是财务失败。</x:v>
      </x:c>
      <x:c r="G14" s="88"/>
      <x:c r="H14" s="88"/>
    </x:row>
    <x:row r="16" ht="27" customHeight="1">
      <x:c r="A16" s="7" t="str">
        <x:v>建议使用顺序：案例速览 → 60个案例（查证与限制）→ 20项调研维度 → 合作评分卡 → 双方经济账 → 执行与访谈。字段与证据页用于把新案例持续加入你的项目。</x:v>
      </x:c>
      <x:c r="B16" s="7"/>
      <x:c r="C16" s="7"/>
      <x:c r="D16" s="7"/>
      <x:c r="E16" s="7"/>
      <x:c r="F16" s="7"/>
      <x:c r="G16" s="7"/>
      <x:c r="H16" s="7"/>
    </x:row>
    <x:row r="17" ht="27" customHeight="1">
      <x:c r="A17" s="7"/>
      <x:c r="B17" s="7"/>
      <x:c r="C17" s="7"/>
      <x:c r="D17" s="7"/>
      <x:c r="E17" s="7"/>
      <x:c r="F17" s="7"/>
      <x:c r="G17" s="7"/>
      <x:c r="H17" s="7"/>
    </x:row>
    <x:row r="19" ht="27" customHeight="1">
      <x:c r="A19" s="38" t="str">
        <x:v>关键纪律：不把售罄当盈利，不把热搜当新增，不把集团增长归因于单次联名，不把合作终止一律标作失败。评分规则是建议，必须结合硬门槛、未知项和小规模验证。</x:v>
      </x:c>
      <x:c r="B19" s="38"/>
      <x:c r="C19" s="38"/>
      <x:c r="D19" s="38"/>
      <x:c r="E19" s="38"/>
      <x:c r="F19" s="38"/>
      <x:c r="G19" s="38"/>
      <x:c r="H19" s="38"/>
    </x:row>
    <x:row r="20" ht="27" customHeight="1">
      <x:c r="A20" s="38"/>
      <x:c r="B20" s="38"/>
      <x:c r="C20" s="38"/>
      <x:c r="D20" s="38"/>
      <x:c r="E20" s="38"/>
      <x:c r="F20" s="38"/>
      <x:c r="G20" s="38"/>
      <x:c r="H20" s="38"/>
    </x:row>
    <x:row r="22" ht="28" customHeight="1">
      <x:c r="A22" s="99" t="str">
        <x:v>样本限制：这是目的性案例集合，覆盖中国与海外、实物商品、IP、内容、体验、会员和渠道联盟；不是行业普查。不能据此计算行业成功率。法律、财务与运营结论仍需属地专业审查及内部数据。</x:v>
      </x:c>
      <x:c r="B22" s="99"/>
      <x:c r="C22" s="99"/>
      <x:c r="D22" s="99"/>
      <x:c r="E22" s="99"/>
      <x:c r="F22" s="99"/>
      <x:c r="G22" s="99"/>
      <x:c r="H22" s="99"/>
    </x:row>
    <x:row r="23" ht="28" customHeight="1">
      <x:c r="A23" s="99"/>
      <x:c r="B23" s="99"/>
      <x:c r="C23" s="99"/>
      <x:c r="D23" s="99"/>
      <x:c r="E23" s="99"/>
      <x:c r="F23" s="99"/>
      <x:c r="G23" s="99"/>
      <x:c r="H23" s="99"/>
    </x:row>
  </x:sheetData>
  <x:mergeCells>
    <x:mergeCell ref="A1:H1"/>
    <x:mergeCell ref="A2:H3"/>
    <x:mergeCell ref="A5:B5"/>
    <x:mergeCell ref="C5:D5"/>
    <x:mergeCell ref="E5:F5"/>
    <x:mergeCell ref="G5:H5"/>
    <x:mergeCell ref="A6:B7"/>
    <x:mergeCell ref="C6:D7"/>
    <x:mergeCell ref="E6:F7"/>
    <x:mergeCell ref="G6:H7"/>
    <x:mergeCell ref="A9:D9"/>
    <x:mergeCell ref="F9:H9"/>
    <x:mergeCell ref="A10:D10"/>
    <x:mergeCell ref="F10:H10"/>
    <x:mergeCell ref="A11:D11"/>
    <x:mergeCell ref="F11:H11"/>
    <x:mergeCell ref="A12:D12"/>
    <x:mergeCell ref="F12:H12"/>
    <x:mergeCell ref="A13:D13"/>
    <x:mergeCell ref="F13:H13"/>
    <x:mergeCell ref="A14:D14"/>
    <x:mergeCell ref="F14:H14"/>
    <x:mergeCell ref="A16:H17"/>
    <x:mergeCell ref="A19:H20"/>
    <x:mergeCell ref="A22:H2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8" hidden="0" customWidth="1"/>
    <x:col min="3" max="3" width="25" hidden="0" customWidth="1"/>
    <x:col min="4" max="4" width="25" hidden="0" customWidth="1"/>
    <x:col min="5" max="5" width="19" hidden="0" customWidth="1"/>
    <x:col min="6" max="6" width="24" hidden="0" customWidth="1"/>
    <x:col min="7" max="7" width="38" hidden="0" customWidth="1"/>
    <x:col min="8" max="8" width="42" hidden="0" customWidth="1"/>
    <x:col min="9" max="9" width="20" hidden="0" customWidth="1"/>
    <x:col min="10" max="10" width="27" hidden="0" customWidth="1"/>
    <x:col min="11" max="11" width="24" hidden="0" customWidth="1"/>
    <x:col min="12" max="12" width="42" hidden="0" customWidth="1"/>
    <x:col min="13" max="13" width="42" hidden="0" customWidth="1"/>
    <x:col min="14" max="14" width="38" hidden="0" customWidth="1"/>
    <x:col min="15" max="15" width="30" hidden="0" customWidth="1"/>
    <x:col min="16" max="16" width="40" hidden="0" customWidth="1"/>
    <x:col min="17" max="17" width="40" hidden="0" customWidth="1"/>
    <x:col min="18" max="18" width="15" hidden="0" customWidth="1"/>
  </x:cols>
  <x:sheetData>
    <x:row r="1" ht="34" customHeight="1">
      <x:c r="A1" s="3" t="str">
        <x:v>品牌联名研究库｜60 个可追溯案例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</x:row>
    <x:row r="2" ht="22" customHeight="1">
      <x:c r="A2" s="8" t="str">
        <x:v>事实、机制解释与证据缺口分列。结果分类不是统一的成败榜；限定市场和时间窗口，历史活动不代表今天仍在售。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  <x:c r="R2" s="8"/>
    </x:row>
    <x:row r="3" ht="22" customHeight="1">
      <x:c r="A3" s="8"/>
      <x:c r="B3" s="8"/>
      <x:c r="C3" s="8"/>
      <x:c r="D3" s="8"/>
      <x:c r="E3" s="8"/>
      <x:c r="F3" s="8"/>
      <x:c r="G3" s="8"/>
      <x:c r="H3" s="8"/>
      <x:c r="I3" s="8"/>
      <x:c r="J3" s="8"/>
      <x:c r="K3" s="8"/>
      <x:c r="L3" s="8"/>
      <x:c r="M3" s="8"/>
      <x:c r="N3" s="8"/>
      <x:c r="O3" s="8"/>
      <x:c r="P3" s="8"/>
      <x:c r="Q3" s="8"/>
      <x:c r="R3" s="8"/>
    </x:row>
    <x:row r="5" ht="30" customHeight="1">
      <x:c r="A5" s="15" t="str">
        <x:v>编号</x:v>
      </x:c>
      <x:c r="B5" s="15" t="str">
        <x:v>品牌A</x:v>
      </x:c>
      <x:c r="C5" s="15" t="str">
        <x:v>品牌B或合作方</x:v>
      </x:c>
      <x:c r="D5" s="15" t="str">
        <x:v>年份与关键节点</x:v>
      </x:c>
      <x:c r="E5" s="15" t="str">
        <x:v>主要市场</x:v>
      </x:c>
      <x:c r="F5" s="15" t="str">
        <x:v>合作类型</x:v>
      </x:c>
      <x:c r="G5" s="15" t="str">
        <x:v>最终产物</x:v>
      </x:c>
      <x:c r="H5" s="15" t="str">
        <x:v>公开结果（事实）</x:v>
      </x:c>
      <x:c r="I5" s="15" t="str">
        <x:v>结果分类</x:v>
      </x:c>
      <x:c r="J5" s="15" t="str">
        <x:v>证据性质</x:v>
      </x:c>
      <x:c r="K5" s="15" t="str">
        <x:v>结果观测窗口</x:v>
      </x:c>
      <x:c r="L5" s="15" t="str">
        <x:v>可借鉴机制或失败解释（分析）</x:v>
      </x:c>
      <x:c r="M5" s="15" t="str">
        <x:v>风险与不可直接照搬之处（分析）</x:v>
      </x:c>
      <x:c r="N5" s="15" t="str">
        <x:v>仍缺少的证据</x:v>
      </x:c>
      <x:c r="O5" s="15" t="str">
        <x:v>重点调研维度</x:v>
      </x:c>
      <x:c r="P5" s="15" t="str">
        <x:v>来源1</x:v>
      </x:c>
      <x:c r="Q5" s="15" t="str">
        <x:v>来源2</x:v>
      </x:c>
      <x:c r="R5" s="15" t="str">
        <x:v>核验日期</x:v>
      </x:c>
    </x:row>
    <x:row r="6" ht="116" customHeight="1">
      <x:c r="A6" s="22" t="str">
        <x:v>C01</x:v>
      </x:c>
      <x:c r="B6" s="22" t="str">
        <x:v>瑞幸</x:v>
      </x:c>
      <x:c r="C6" s="22" t="str">
        <x:v>贵州茅台</x:v>
      </x:c>
      <x:c r="D6" s="22" t="str">
        <x:v>2023推出；2024主题店</x:v>
      </x:c>
      <x:c r="E6" s="22" t="str">
        <x:v>中国</x:v>
      </x:c>
      <x:c r="F6" s="22" t="str">
        <x:v>品牌×品牌／原料与品牌</x:v>
      </x:c>
      <x:c r="G6" s="22" t="str">
        <x:v>酱香拿铁、联名杯袋与主题店</x:v>
      </x:c>
      <x:c r="H6" s="22" t="str">
        <x:v>瑞幸披露首日542万杯、销售额超1亿元；截至2023年底4583万杯、超9亿元。</x:v>
      </x:c>
      <x:c r="I6" s="22" t="str">
        <x:v>销售表现有据</x:v>
      </x:c>
      <x:c r="J6" s="22" t="str">
        <x:v>A｜品牌/企业原始披露</x:v>
      </x:c>
      <x:c r="K6" s="22" t="str">
        <x:v>2023首日与年末累计</x:v>
      </x:c>
      <x:c r="L6" s="22" t="str">
        <x:v>昂贵品牌符号转成低门槛、可体验的日常商品；原料参与，不止包装贴标。</x:v>
      </x:c>
      <x:c r="M6" s="22" t="str">
        <x:v>销售规模不等于利润；须另查复购、酒精相关告知与双方收益分配。</x:v>
      </x:c>
      <x:c r="N6" s="22" t="str">
        <x:v>项目利润、净新增客户、对茅台主营的可归因提升</x:v>
      </x:c>
      <x:c r="O6" s="22" t="str">
        <x:v>用户动机；价格；产品；增量</x:v>
      </x:c>
      <x:c r="P6" s="22" t="str">
        <x:v>https://investor.lkcoffee.com/news-releases/news-release-details/luckin-coffee-x-kweichow-moutai-theme-store-opens-committed</x:v>
      </x:c>
      <x:c r="Q6" s="22" t="str">
        <x:v>https://www.reuters.com/business/retail-consumer/chinas-luckin-sells-54-mln-moutai-alcohol-infused-lattes-day-2023-09-05/</x:v>
      </x:c>
      <x:c r="R6" s="22" t="str">
        <x:v>2026-09-05</x:v>
      </x:c>
    </x:row>
    <x:row r="7" ht="116" customHeight="1">
      <x:c r="A7" s="22" t="str">
        <x:v>C02</x:v>
      </x:c>
      <x:c r="B7" s="22" t="str">
        <x:v>瑞幸</x:v>
      </x:c>
      <x:c r="C7" s="22" t="str">
        <x:v>椰树</x:v>
      </x:c>
      <x:c r="D7" s="22" t="str">
        <x:v>2022</x:v>
      </x:c>
      <x:c r="E7" s="22" t="str">
        <x:v>中国</x:v>
      </x:c>
      <x:c r="F7" s="22" t="str">
        <x:v>品牌×品牌／原料联名</x:v>
      </x:c>
      <x:c r="G7" s="22" t="str">
        <x:v>椰云拿铁、椰树式高识别度包装</x:v>
      </x:c>
      <x:c r="H7" s="22" t="str">
        <x:v>首周销量超过495万杯；瑞幸财报披露同名新品首周数据。</x:v>
      </x:c>
      <x:c r="I7" s="22" t="str">
        <x:v>销售表现有据</x:v>
      </x:c>
      <x:c r="J7" s="22" t="str">
        <x:v>A｜品牌/企业原始披露</x:v>
      </x:c>
      <x:c r="K7" s="22" t="str">
        <x:v>上市首周</x:v>
      </x:c>
      <x:c r="L7" s="22" t="str">
        <x:v>椰汁进入咖啡产品，既有口味搭配又有视觉辨识度。</x:v>
      </x:c>
      <x:c r="M7" s="22" t="str">
        <x:v>不能把整个生椰拿铁产品线的多年销量归到这次联名。</x:v>
      </x:c>
      <x:c r="N7" s="22" t="str">
        <x:v>联名单品后续留存、折扣后利润、椰树方收益</x:v>
      </x:c>
      <x:c r="O7" s="22" t="str">
        <x:v>功能互补；视觉资产；产品线归因</x:v>
      </x:c>
      <x:c r="P7" s="22" t="str">
        <x:v>https://investor.luckincoffee.com/news-releases/news-release-details/luckin-coffee-inc-announces-unaudited-first-quarter-2022</x:v>
      </x:c>
      <x:c r="Q7" s="22" t="str">
        <x:v>https://www.news.cn/food/20220506/f51e64bacb64413aa3d20e3db0a2e306/c.html</x:v>
      </x:c>
      <x:c r="R7" s="22" t="str">
        <x:v>2026-09-05</x:v>
      </x:c>
    </x:row>
    <x:row r="8" ht="116" customHeight="1">
      <x:c r="A8" s="22" t="str">
        <x:v>C03</x:v>
      </x:c>
      <x:c r="B8" s="22" t="str">
        <x:v>喜茶</x:v>
      </x:c>
      <x:c r="C8" s="22" t="str">
        <x:v>FENDI</x:v>
      </x:c>
      <x:c r="D8" s="22" t="str">
        <x:v>2023</x:v>
      </x:c>
      <x:c r="E8" s="22" t="str">
        <x:v>中国</x:v>
      </x:c>
      <x:c r="F8" s="22" t="str">
        <x:v>品牌×品牌／形象与体验</x:v>
      </x:c>
      <x:c r="G8" s="22" t="str">
        <x:v>FENDI喜悦黄饮品、杯袋周边、展览茶室及烘焙</x:v>
      </x:c>
      <x:c r="H8" s="22" t="str">
        <x:v>公开报道记录排队与部分售罄；联名单独利润未披露。</x:v>
      </x:c>
      <x:c r="I8" s="22" t="str">
        <x:v>产品机制参考</x:v>
      </x:c>
      <x:c r="J8" s="22" t="str">
        <x:v>B｜可靠媒体/行业机构报道</x:v>
      </x:c>
      <x:c r="K8" s="22" t="str">
        <x:v>2023活动期</x:v>
      </x:c>
      <x:c r="L8" s="22" t="str">
        <x:v>低门槛饮品把奢侈品牌视觉转为可携带、可拍照的体验入口。</x:v>
      </x:c>
      <x:c r="M8" s="22" t="str">
        <x:v>喝过联名饮品不等于进入奢侈品购买人群；需检验真实品牌转移。</x:v>
      </x:c>
      <x:c r="N8" s="22" t="str">
        <x:v>双方新增购买者、品牌提升、周边成本与利润</x:v>
      </x:c>
      <x:c r="O8" s="22" t="str">
        <x:v>品牌资产；圈层；体验；转化</x:v>
      </x:c>
      <x:c r="P8" s="22" t="str">
        <x:v>https://www.xinhuanet.com/fashion/20230518/583947debd73474dafad7ea82b66e93e/c.html</x:v>
      </x:c>
      <x:c r="Q8" s="22" t="str">
        <x:v>https://paper.people.com.cn/zgcsbwap/html/2023-05/29/content_25990154.htm</x:v>
      </x:c>
      <x:c r="R8" s="22" t="str">
        <x:v>2026-09-05</x:v>
      </x:c>
    </x:row>
    <x:row r="9" ht="116" customHeight="1">
      <x:c r="A9" s="22" t="str">
        <x:v>C04</x:v>
      </x:c>
      <x:c r="B9" s="22" t="str">
        <x:v>喜茶</x:v>
      </x:c>
      <x:c r="C9" s="22" t="str">
        <x:v>《梦华录》</x:v>
      </x:c>
      <x:c r="D9" s="22" t="str">
        <x:v>2022</x:v>
      </x:c>
      <x:c r="E9" s="22" t="str">
        <x:v>中国</x:v>
      </x:c>
      <x:c r="F9" s="22" t="str">
        <x:v>品牌×影视IP</x:v>
      </x:c>
      <x:c r="G9" s="22" t="str">
        <x:v>剧集主题饮品与杯身视觉</x:v>
      </x:c>
      <x:c r="H9" s="22" t="str">
        <x:v>报道援引喜茶小程序：首日近30万杯、7日超过140万杯。</x:v>
      </x:c>
      <x:c r="I9" s="22" t="str">
        <x:v>销售表现有据</x:v>
      </x:c>
      <x:c r="J9" s="22" t="str">
        <x:v>B｜可靠媒体/行业机构报道</x:v>
      </x:c>
      <x:c r="K9" s="22" t="str">
        <x:v>上市7日</x:v>
      </x:c>
      <x:c r="L9" s="22" t="str">
        <x:v>把观看剧集的情绪和茶饮消费场景接起来，降低理解成本。</x:v>
      </x:c>
      <x:c r="M9" s="22" t="str">
        <x:v>剧热度窗口较短；不能把剧粉丝规模直接当作付费需求。</x:v>
      </x:c>
      <x:c r="N9" s="22" t="str">
        <x:v>独立销售审计、增量毛利、非粉丝复购</x:v>
      </x:c>
      <x:c r="O9" s="22" t="str">
        <x:v>时机；叙事；粉丝转化</x:v>
      </x:c>
      <x:c r="P9" s="22" t="str">
        <x:v>https://paper.people.com.cn/zgcsbwap/html/2023-05/29/content_25990154.htm</x:v>
      </x:c>
      <x:c r="Q9" s="22" t="str"/>
      <x:c r="R9" s="22" t="str">
        <x:v>2026-09-05</x:v>
      </x:c>
    </x:row>
    <x:row r="10" ht="116" customHeight="1">
      <x:c r="A10" s="22" t="str">
        <x:v>C05</x:v>
      </x:c>
      <x:c r="B10" s="22" t="str">
        <x:v>喜茶</x:v>
      </x:c>
      <x:c r="C10" s="22" t="str">
        <x:v>《甄嬛传》</x:v>
      </x:c>
      <x:c r="D10" s="22" t="str">
        <x:v>2022</x:v>
      </x:c>
      <x:c r="E10" s="22" t="str">
        <x:v>中国</x:v>
      </x:c>
      <x:c r="F10" s="22" t="str">
        <x:v>品牌×影视IP</x:v>
      </x:c>
      <x:c r="G10" s="22" t="str">
        <x:v>剧集人物主题饮品、包装和周边</x:v>
      </x:c>
      <x:c r="H10" s="22" t="str">
        <x:v>报道援引喜茶小程序：推出3日售出超过50万杯。</x:v>
      </x:c>
      <x:c r="I10" s="22" t="str">
        <x:v>销售表现有据</x:v>
      </x:c>
      <x:c r="J10" s="22" t="str">
        <x:v>B｜可靠媒体/行业机构报道</x:v>
      </x:c>
      <x:c r="K10" s="22" t="str">
        <x:v>上市3日</x:v>
      </x:c>
      <x:c r="L10" s="22" t="str">
        <x:v>可反复引用的人物关系与台词，为消费者提供社交表达素材。</x:v>
      </x:c>
      <x:c r="M10" s="22" t="str">
        <x:v>怀旧热度与单次抢购不能替代长期留存证据。</x:v>
      </x:c>
      <x:c r="N10" s="22" t="str">
        <x:v>利润、周边驱动订单占比、复购</x:v>
      </x:c>
      <x:c r="O10" s="22" t="str">
        <x:v>文化语境；社交表达；留存</x:v>
      </x:c>
      <x:c r="P10" s="22" t="str">
        <x:v>https://paper.people.com.cn/zgcsbwap/html/2023-05/29/content_25990154.htm</x:v>
      </x:c>
      <x:c r="Q10" s="22" t="str"/>
      <x:c r="R10" s="22" t="str">
        <x:v>2026-09-05</x:v>
      </x:c>
    </x:row>
    <x:row r="11" ht="116" customHeight="1">
      <x:c r="A11" s="22" t="str">
        <x:v>C06</x:v>
      </x:c>
      <x:c r="B11" s="22" t="str">
        <x:v>喜茶</x:v>
      </x:c>
      <x:c r="C11" s="22" t="str">
        <x:v>《原神》</x:v>
      </x:c>
      <x:c r="D11" s="22" t="str">
        <x:v>2022</x:v>
      </x:c>
      <x:c r="E11" s="22" t="str">
        <x:v>中国</x:v>
      </x:c>
      <x:c r="F11" s="22" t="str">
        <x:v>品牌×游戏IP</x:v>
      </x:c>
      <x:c r="G11" s="22" t="str">
        <x:v>角色主题茶饮、联名包装及赠品</x:v>
      </x:c>
      <x:c r="H11" s="22" t="str">
        <x:v>报道援引喜茶小程序：联名推出一周销量超过100万杯。</x:v>
      </x:c>
      <x:c r="I11" s="22" t="str">
        <x:v>销售表现有据</x:v>
      </x:c>
      <x:c r="J11" s="22" t="str">
        <x:v>B｜可靠媒体/行业机构报道</x:v>
      </x:c>
      <x:c r="K11" s="22" t="str">
        <x:v>上市一周</x:v>
      </x:c>
      <x:c r="L11" s="22" t="str">
        <x:v>用角色关系与可收藏物，把线上喜爱转成线下消费。</x:v>
      </x:c>
      <x:c r="M11" s="22" t="str">
        <x:v>必须区分购买饮品与购买赠品；赠品短缺可破坏核心体验。</x:v>
      </x:c>
      <x:c r="N11" s="22" t="str">
        <x:v>每款角色需求分布、正常供货下的复购、项目利润</x:v>
      </x:c>
      <x:c r="O11" s="22" t="str">
        <x:v>粉丝分层；赠品；门店履约</x:v>
      </x:c>
      <x:c r="P11" s="22" t="str">
        <x:v>https://paper.people.com.cn/zgcsbwap/html/2023-05/29/content_25990154.htm</x:v>
      </x:c>
      <x:c r="Q11" s="22" t="str"/>
      <x:c r="R11" s="22" t="str">
        <x:v>2026-09-05</x:v>
      </x:c>
    </x:row>
    <x:row r="12" ht="116" customHeight="1">
      <x:c r="A12" s="22" t="str">
        <x:v>C07</x:v>
      </x:c>
      <x:c r="B12" s="22" t="str">
        <x:v>茉莉奶白</x:v>
      </x:c>
      <x:c r="C12" s="22" t="str">
        <x:v>《恋与深空》</x:v>
      </x:c>
      <x:c r="D12" s="22" t="str">
        <x:v>2026年6月</x:v>
      </x:c>
      <x:c r="E12" s="22" t="str">
        <x:v>中国</x:v>
      </x:c>
      <x:c r="F12" s="22" t="str">
        <x:v>品牌×游戏IP</x:v>
      </x:c>
      <x:c r="G12" s="22" t="str">
        <x:v>角色对应饮品、主题杯袋及收藏周边</x:v>
      </x:c>
      <x:c r="H12" s="22" t="str">
        <x:v>2026年6月报道记录排队与周边抢购；长期效果尚无充分公开证据。</x:v>
      </x:c>
      <x:c r="I12" s="22" t="str">
        <x:v>产品机制参考</x:v>
      </x:c>
      <x:c r="J12" s="22" t="str">
        <x:v>C｜推广或转述口径</x:v>
      </x:c>
      <x:c r="K12" s="22" t="str">
        <x:v>2026年6月首发报道</x:v>
      </x:c>
      <x:c r="L12" s="22" t="str">
        <x:v>细分角色偏好使同一IP内部也存在不同需求，适合角色级备货研究。</x:v>
      </x:c>
      <x:c r="M12" s="22" t="str">
        <x:v>推广稿数据不能直接当作独立审计；观察时间短。</x:v>
      </x:c>
      <x:c r="N12" s="22" t="str">
        <x:v>去重买家、角色级库存、赠品驱动比例、联名结束后留存</x:v>
      </x:c>
      <x:c r="O12" s="22" t="str">
        <x:v>粉丝画像；角色SKU；备货</x:v>
      </x:c>
      <x:c r="P12" s="22" t="str">
        <x:v>https://m.36kr.com/p/3867222774469633</x:v>
      </x:c>
      <x:c r="Q12" s="22" t="str">
        <x:v>https://biz.ifeng.com/c/8uC3eRDenJL</x:v>
      </x:c>
      <x:c r="R12" s="22" t="str">
        <x:v>2026-09-05</x:v>
      </x:c>
    </x:row>
    <x:row r="13" ht="116" customHeight="1">
      <x:c r="A13" s="22" t="str">
        <x:v>C08</x:v>
      </x:c>
      <x:c r="B13" s="22" t="str">
        <x:v>UNIQLO</x:v>
      </x:c>
      <x:c r="C13" s="22" t="str">
        <x:v>KAWS</x:v>
      </x:c>
      <x:c r="D13" s="22" t="str">
        <x:v>2016起；2024、2025有后续</x:v>
      </x:c>
      <x:c r="E13" s="22" t="str">
        <x:v>多市场</x:v>
      </x:c>
      <x:c r="F13" s="22" t="str">
        <x:v>品牌×艺术家</x:v>
      </x:c>
      <x:c r="G13" s="22" t="str">
        <x:v>UT服装、艺术图像商品与相关出版物</x:v>
      </x:c>
      <x:c r="H13" s="22" t="str">
        <x:v>UNIQLO 2024回顾称已合作9个系列；2025宣布KAWS任驻留艺术家。</x:v>
      </x:c>
      <x:c r="I13" s="22" t="str">
        <x:v>合作延续有据</x:v>
      </x:c>
      <x:c r="J13" s="22" t="str">
        <x:v>A｜品牌/企业原始披露</x:v>
      </x:c>
      <x:c r="K13" s="22" t="str">
        <x:v>截至2025年官方公布</x:v>
      </x:c>
      <x:c r="L13" s="22" t="str">
        <x:v>稳定服装载体与可更新艺术资产，形成连续系列而非一次事件。</x:v>
      </x:c>
      <x:c r="M13" s="22" t="str">
        <x:v>同一粉丝重复购买不等于持续拉新；不可直接套用艺术家影响力。</x:v>
      </x:c>
      <x:c r="N13" s="22" t="str">
        <x:v>各期净新增客、艺术授权成本、系列盈利</x:v>
      </x:c>
      <x:c r="O13" s="22" t="str">
        <x:v>系列化；文化资产；长期关系</x:v>
      </x:c>
      <x:c r="P13" s="22" t="str">
        <x:v>https://www.uniqlo.com/jp/en/contents/lifewear-magazine/archives/24fw/hello-kaws/</x:v>
      </x:c>
      <x:c r="Q13" s="22" t="str">
        <x:v>https://www.fastretailing.com/eng/group/news/2509161100.html</x:v>
      </x:c>
      <x:c r="R13" s="22" t="str">
        <x:v>2026-09-05</x:v>
      </x:c>
    </x:row>
    <x:row r="14" ht="116" customHeight="1">
      <x:c r="A14" s="22" t="str">
        <x:v>C09</x:v>
      </x:c>
      <x:c r="B14" s="22" t="str">
        <x:v>H&amp;M</x:v>
      </x:c>
      <x:c r="C14" s="22" t="str">
        <x:v>Karl Lagerfeld</x:v>
      </x:c>
      <x:c r="D14" s="22" t="str">
        <x:v>2004</x:v>
      </x:c>
      <x:c r="E14" s="22" t="str">
        <x:v>多市场</x:v>
      </x:c>
      <x:c r="F14" s="22" t="str">
        <x:v>品牌×设计师</x:v>
      </x:c>
      <x:c r="G14" s="22" t="str">
        <x:v>Karl Lagerfeld for H&amp;M限量成衣系列</x:v>
      </x:c>
      <x:c r="H14" s="22" t="str">
        <x:v>当年系列快速售出；H&amp;M在2024年回顾其为设计师联名起点。</x:v>
      </x:c>
      <x:c r="I14" s="22" t="str">
        <x:v>销售表现有据</x:v>
      </x:c>
      <x:c r="J14" s="22" t="str">
        <x:v>B｜可靠媒体/行业机构报道</x:v>
      </x:c>
      <x:c r="K14" s="22" t="str">
        <x:v>2004首发；2024回顾</x:v>
      </x:c>
      <x:c r="L14" s="22" t="str">
        <x:v>把稀缺设计师语言放进大众价格与零售渠道。</x:v>
      </x:c>
      <x:c r="M14" s="22" t="str">
        <x:v>热销仍可能伴随合作方对数量、定位的分歧；供需与品牌边界须事先确定。</x:v>
      </x:c>
      <x:c r="N14" s="22" t="str">
        <x:v>首批量、真实利润、双方满意度</x:v>
      </x:c>
      <x:c r="O14" s="22" t="str">
        <x:v>价格架构；设计转译；治理</x:v>
      </x:c>
      <x:c r="P14" s="22" t="str">
        <x:v>https://hmgroup.com/news/karl-lagerfeld-and-hm/</x:v>
      </x:c>
      <x:c r="Q14" s="22" t="str">
        <x:v>https://www.businessinsider.com/karl-lagerfeld-hm-collaboration-letdown-2019-2</x:v>
      </x:c>
      <x:c r="R14" s="22" t="str">
        <x:v>2026-09-05</x:v>
      </x:c>
    </x:row>
    <x:row r="15" ht="116" customHeight="1">
      <x:c r="A15" s="22" t="str">
        <x:v>C10</x:v>
      </x:c>
      <x:c r="B15" s="22" t="str">
        <x:v>H&amp;M</x:v>
      </x:c>
      <x:c r="C15" s="22" t="str">
        <x:v>Balmain</x:v>
      </x:c>
      <x:c r="D15" s="22" t="str">
        <x:v>2015</x:v>
      </x:c>
      <x:c r="E15" s="22" t="str">
        <x:v>多市场</x:v>
      </x:c>
      <x:c r="F15" s="22" t="str">
        <x:v>品牌×品牌／设计师系列</x:v>
      </x:c>
      <x:c r="G15" s="22" t="str">
        <x:v>Balmain风格服装和配饰系列</x:v>
      </x:c>
      <x:c r="H15" s="22" t="str">
        <x:v>媒体记录上线迅速售罄，同时出现网站拥堵和抢购。</x:v>
      </x:c>
      <x:c r="I15" s="22" t="str">
        <x:v>销售表现有据</x:v>
      </x:c>
      <x:c r="J15" s="22" t="str">
        <x:v>B｜可靠媒体/行业机构报道</x:v>
      </x:c>
      <x:c r="K15" s="22" t="str">
        <x:v>2015首发期</x:v>
      </x:c>
      <x:c r="L15" s="22" t="str">
        <x:v>保留合作品牌高辨识度款式，让受众能看懂自己买到了什么。</x:v>
      </x:c>
      <x:c r="M15" s="22" t="str">
        <x:v>秒空若无数量分母无法衡量规模；高热度需要系统与客服承接。</x:v>
      </x:c>
      <x:c r="N15" s="22" t="str">
        <x:v>首批量、订单完成率、退款、联名利润</x:v>
      </x:c>
      <x:c r="O15" s="22" t="str">
        <x:v>标志设计；稀缺；履约</x:v>
      </x:c>
      <x:c r="P15" s="22" t="str">
        <x:v>https://fashionunited.com/news/retail/h-m-balmain-collaboration-sells-out-as-expected/201511058778</x:v>
      </x:c>
      <x:c r="Q15" s="22" t="str">
        <x:v>https://www.retaildive.com/news/balmain-x-hm-collection-ignites-a-frenzy-in-stores-online/408747/</x:v>
      </x:c>
      <x:c r="R15" s="22" t="str">
        <x:v>2026-09-05</x:v>
      </x:c>
    </x:row>
    <x:row r="16" ht="116" customHeight="1">
      <x:c r="A16" s="22" t="str">
        <x:v>C11</x:v>
      </x:c>
      <x:c r="B16" s="22" t="str">
        <x:v>Louis Vuitton</x:v>
      </x:c>
      <x:c r="C16" s="22" t="str">
        <x:v>Supreme</x:v>
      </x:c>
      <x:c r="D16" s="22" t="str">
        <x:v>2017</x:v>
      </x:c>
      <x:c r="E16" s="22" t="str">
        <x:v>多市场</x:v>
      </x:c>
      <x:c r="F16" s="22" t="str">
        <x:v>品牌×品牌／奢侈与街头</x:v>
      </x:c>
      <x:c r="G16" s="22" t="str">
        <x:v>箱包、服装、鞋履和配饰胶囊系列</x:v>
      </x:c>
      <x:c r="H16" s="22" t="str">
        <x:v>LVMH将其列为2017年关键事件；媒体记录快闪发售热度。</x:v>
      </x:c>
      <x:c r="I16" s="22" t="str">
        <x:v>产品机制参考</x:v>
      </x:c>
      <x:c r="J16" s="22" t="str">
        <x:v>A｜品牌/企业原始披露</x:v>
      </x:c>
      <x:c r="K16" s="22" t="str">
        <x:v>2017活动与年度回顾</x:v>
      </x:c>
      <x:c r="L16" s="22" t="str">
        <x:v>奢侈工艺载体与街头标识结合，完成文化身份而非只交换流量。</x:v>
      </x:c>
      <x:c r="M16" s="22" t="str">
        <x:v>集团全年增长不能归因于单次联名；二级市场溢价也不是品牌收入。</x:v>
      </x:c>
      <x:c r="N16" s="22" t="str">
        <x:v>联名独立收入、毛利、双方客群迁移</x:v>
      </x:c>
      <x:c r="O16" s="22" t="str">
        <x:v>品牌地位；文化互补；归因</x:v>
      </x:c>
      <x:c r="P16" s="22" t="str">
        <x:v>https://www.lvmh.com/en/publications/2017-record-results</x:v>
      </x:c>
      <x:c r="Q16" s="22" t="str">
        <x:v>https://www.gq.com/story/louis-vuitton-x-supreme-is-not-cancelled</x:v>
      </x:c>
      <x:c r="R16" s="22" t="str">
        <x:v>2026-09-05</x:v>
      </x:c>
    </x:row>
    <x:row r="17" ht="116" customHeight="1">
      <x:c r="A17" s="22" t="str">
        <x:v>C12</x:v>
      </x:c>
      <x:c r="B17" s="22" t="str">
        <x:v>Dior</x:v>
      </x:c>
      <x:c r="C17" s="22" t="str">
        <x:v>Jordan Brand</x:v>
      </x:c>
      <x:c r="D17" s="22" t="str">
        <x:v>2020</x:v>
      </x:c>
      <x:c r="E17" s="22" t="str">
        <x:v>多市场</x:v>
      </x:c>
      <x:c r="F17" s="22" t="str">
        <x:v>品牌×品牌／奢侈与运动</x:v>
      </x:c>
      <x:c r="G17" s="22" t="str">
        <x:v>Air Dior AJ1高低帮鞋、成衣和配饰</x:v>
      </x:c>
      <x:c r="H17" s="22" t="str">
        <x:v>官方及发布报道可确认实物系列；本库不采用未经核准的抽签报名数字。</x:v>
      </x:c>
      <x:c r="I17" s="22" t="str">
        <x:v>产品机制参考</x:v>
      </x:c>
      <x:c r="J17" s="22" t="str">
        <x:v>A｜品牌/企业原始披露</x:v>
      </x:c>
      <x:c r="K17" s="22" t="str">
        <x:v>2020发布</x:v>
      </x:c>
      <x:c r="L17" s="22" t="str">
        <x:v>以熟悉鞋型承载高级材质与图案语言，创造可收藏的交集。</x:v>
      </x:c>
      <x:c r="M17" s="22" t="str">
        <x:v>收藏热度不等于大众适配；稀缺商品的转化漏斗与普通商品不同。</x:v>
      </x:c>
      <x:c r="N17" s="22" t="str">
        <x:v>实际售出量、购买去重、利润、对双方主营的影响</x:v>
      </x:c>
      <x:c r="O17" s="22" t="str">
        <x:v>产品资产；稀缺；价格</x:v>
      </x:c>
      <x:c r="P17" s="22" t="str">
        <x:v>https://www.youtube.com/watch?v=3Lf3bbYcNd4</x:v>
      </x:c>
      <x:c r="Q17" s="22" t="str">
        <x:v>https://www.vogue.co.jp/fashion/article/2020-06-23-dior</x:v>
      </x:c>
      <x:c r="R17" s="22" t="str">
        <x:v>2026-09-05</x:v>
      </x:c>
    </x:row>
    <x:row r="18" ht="116" customHeight="1">
      <x:c r="A18" s="22" t="str">
        <x:v>C13</x:v>
      </x:c>
      <x:c r="B18" s="22" t="str">
        <x:v>Swatch</x:v>
      </x:c>
      <x:c r="C18" s="22" t="str">
        <x:v>OMEGA</x:v>
      </x:c>
      <x:c r="D18" s="22" t="str">
        <x:v>2022</x:v>
      </x:c>
      <x:c r="E18" s="22" t="str">
        <x:v>多市场</x:v>
      </x:c>
      <x:c r="F18" s="22" t="str">
        <x:v>同集团跨品牌</x:v>
      </x:c>
      <x:c r="G18" s="22" t="str">
        <x:v>Bioceramic MoonSwatch腕表</x:v>
      </x:c>
      <x:c r="H18" s="22" t="str">
        <x:v>2022年度业绩相关披露记录销量超过100万只。</x:v>
      </x:c>
      <x:c r="I18" s="22" t="str">
        <x:v>销售表现有据</x:v>
      </x:c>
      <x:c r="J18" s="22" t="str">
        <x:v>B｜可靠媒体/行业机构报道</x:v>
      </x:c>
      <x:c r="K18" s="22" t="str">
        <x:v>2022年度披露／2023年初</x:v>
      </x:c>
      <x:c r="L18" s="22" t="str">
        <x:v>将高端标志设计转为不同材质与价位的新产品，保留识别性。</x:v>
      </x:c>
      <x:c r="M18" s="22" t="str">
        <x:v>同属Swatch集团，授权和利益协调条件不能照搬到独立品牌。</x:v>
      </x:c>
      <x:c r="N18" s="22" t="str">
        <x:v>独立利润、高端原线蚕食率、净新增用户</x:v>
      </x:c>
      <x:c r="O18" s="22" t="str">
        <x:v>价格梯度；资产借用；集团关系</x:v>
      </x:c>
      <x:c r="P18" s="22" t="str">
        <x:v>https://www.fhs.swiss/eng/2023_02_09_01_Swatch_Group.html</x:v>
      </x:c>
      <x:c r="Q18" s="22" t="str">
        <x:v>https://www.swatch.com/en-en/bioceramic-moonswatch-collection.html</x:v>
      </x:c>
      <x:c r="R18" s="22" t="str">
        <x:v>2026-09-05</x:v>
      </x:c>
    </x:row>
    <x:row r="19" ht="116" customHeight="1">
      <x:c r="A19" s="22" t="str">
        <x:v>C14</x:v>
      </x:c>
      <x:c r="B19" s="22" t="str">
        <x:v>Swatch</x:v>
      </x:c>
      <x:c r="C19" s="22" t="str">
        <x:v>Blancpain</x:v>
      </x:c>
      <x:c r="D19" s="22" t="str">
        <x:v>2023</x:v>
      </x:c>
      <x:c r="E19" s="22" t="str">
        <x:v>多市场</x:v>
      </x:c>
      <x:c r="F19" s="22" t="str">
        <x:v>同集团跨品牌</x:v>
      </x:c>
      <x:c r="G19" s="22" t="str">
        <x:v>Bioceramic Scuba Fifty Fathoms机械腕表</x:v>
      </x:c>
      <x:c r="H19" s="22" t="str">
        <x:v>官方确认推出系列产品；未找到可直接采用的单独销售与利润数据。</x:v>
      </x:c>
      <x:c r="I19" s="22" t="str">
        <x:v>产品机制参考</x:v>
      </x:c>
      <x:c r="J19" s="22" t="str">
        <x:v>A｜品牌/企业原始披露</x:v>
      </x:c>
      <x:c r="K19" s="22" t="str">
        <x:v>2023首发</x:v>
      </x:c>
      <x:c r="L19" s="22" t="str">
        <x:v>以经典潜水表设计和机械结构，向较低门槛产品转译。</x:v>
      </x:c>
      <x:c r="M19" s="22" t="str">
        <x:v>不能因MoonSwatch热卖就假设第二次联名同样成功。</x:v>
      </x:c>
      <x:c r="N19" s="22" t="str">
        <x:v>实际销量、库存、购买者结构与系列利润</x:v>
      </x:c>
      <x:c r="O19" s="22" t="str">
        <x:v>同类先例；技术；价格</x:v>
      </x:c>
      <x:c r="P19" s="22" t="str">
        <x:v>https://www.swatchgroup.com/en/services/archive/2023/swatch-bioceramic-scuba-fifty-fathoms</x:v>
      </x:c>
      <x:c r="Q19" s="22" t="str">
        <x:v>https://www.blancpain.com/en/blancpainxswatch</x:v>
      </x:c>
      <x:c r="R19" s="22" t="str">
        <x:v>2026-09-05</x:v>
      </x:c>
    </x:row>
    <x:row r="20" ht="116" customHeight="1">
      <x:c r="A20" s="22" t="str">
        <x:v>C15</x:v>
      </x:c>
      <x:c r="B20" s="22" t="str">
        <x:v>LEGO</x:v>
      </x:c>
      <x:c r="C20" s="22" t="str">
        <x:v>Star Wars</x:v>
      </x:c>
      <x:c r="D20" s="22" t="str">
        <x:v>1999起；2024满25年</x:v>
      </x:c>
      <x:c r="E20" s="22" t="str">
        <x:v>多市场</x:v>
      </x:c>
      <x:c r="F20" s="22" t="str">
        <x:v>品牌×影视IP</x:v>
      </x:c>
      <x:c r="G20" s="22" t="str">
        <x:v>积木套装及延伸游戏、出版和收藏生态</x:v>
      </x:c>
      <x:c r="H20" s="22" t="str">
        <x:v>双方2024年官方发布合作25周年纪念内容。</x:v>
      </x:c>
      <x:c r="I20" s="22" t="str">
        <x:v>合作延续有据</x:v>
      </x:c>
      <x:c r="J20" s="22" t="str">
        <x:v>A｜品牌/企业原始披露</x:v>
      </x:c>
      <x:c r="K20" s="22" t="str">
        <x:v>1999—2024</x:v>
      </x:c>
      <x:c r="L20" s="22" t="str">
        <x:v>故事世界能持续更新，积木系统可持续重组，适合长期产品体系。</x:v>
      </x:c>
      <x:c r="M20" s="22" t="str">
        <x:v>续约是延续证据，不等于每一个套装都赚钱。</x:v>
      </x:c>
      <x:c r="N20" s="22" t="str">
        <x:v>各系列生命周期、授权成本、复购与利润</x:v>
      </x:c>
      <x:c r="O20" s="22" t="str">
        <x:v>世界观；模块化；生命周期</x:v>
      </x:c>
      <x:c r="P20" s="22" t="str">
        <x:v>https://www.lego.com/en-us/aboutus/news/2024/january/lego-star-wars-25-anniversary</x:v>
      </x:c>
      <x:c r="Q20" s="22" t="str">
        <x:v>https://www.starwars.com/news/lego-star-wars-25th-anniversary</x:v>
      </x:c>
      <x:c r="R20" s="22" t="str">
        <x:v>2026-09-05</x:v>
      </x:c>
    </x:row>
    <x:row r="21" ht="116" customHeight="1">
      <x:c r="A21" s="22" t="str">
        <x:v>C16</x:v>
      </x:c>
      <x:c r="B21" s="22" t="str">
        <x:v>IKEA</x:v>
      </x:c>
      <x:c r="C21" s="22" t="str">
        <x:v>LEGO</x:v>
      </x:c>
      <x:c r="D21" s="22" t="str">
        <x:v>2020</x:v>
      </x:c>
      <x:c r="E21" s="22" t="str">
        <x:v>多市场</x:v>
      </x:c>
      <x:c r="F21" s="22" t="str">
        <x:v>品牌×品牌／功能共创</x:v>
      </x:c>
      <x:c r="G21" s="22" t="str">
        <x:v>BYGGLEK带乐高凸点的收纳盒与积木套装</x:v>
      </x:c>
      <x:c r="H21" s="22" t="str">
        <x:v>双方官方发布可确认产品与联合设计理念；单品利润未公开。</x:v>
      </x:c>
      <x:c r="I21" s="22" t="str">
        <x:v>产品机制参考</x:v>
      </x:c>
      <x:c r="J21" s="22" t="str">
        <x:v>A｜品牌/企业原始披露</x:v>
      </x:c>
      <x:c r="K21" s="22" t="str">
        <x:v>2020发布</x:v>
      </x:c>
      <x:c r="L21" s="22" t="str">
        <x:v>让收纳容器同时成为搭建底座，解决收拾与保留作品之间的冲突。</x:v>
      </x:c>
      <x:c r="M21" s="22" t="str">
        <x:v>产品逻辑合理仍需要验证家庭使用频率、尺寸及价格。</x:v>
      </x:c>
      <x:c r="N21" s="22" t="str">
        <x:v>长期销量、退货、实际使用、增量利润</x:v>
      </x:c>
      <x:c r="O21" s="22" t="str">
        <x:v>共同场景；用户任务；功能融合</x:v>
      </x:c>
      <x:c r="P21" s="22" t="str">
        <x:v>https://www.lego.com/en-us/aboutus/news/2020/august/ikea-bygglek</x:v>
      </x:c>
      <x:c r="Q21" s="22" t="str"/>
      <x:c r="R21" s="22" t="str">
        <x:v>2026-09-05</x:v>
      </x:c>
    </x:row>
    <x:row r="22" ht="116" customHeight="1">
      <x:c r="A22" s="22" t="str">
        <x:v>C17</x:v>
      </x:c>
      <x:c r="B22" s="22" t="str">
        <x:v>adidas</x:v>
      </x:c>
      <x:c r="C22" s="22" t="str">
        <x:v>LEGO</x:v>
      </x:c>
      <x:c r="D22" s="22" t="str">
        <x:v>2020起</x:v>
      </x:c>
      <x:c r="E22" s="22" t="str">
        <x:v>多市场</x:v>
      </x:c>
      <x:c r="F22" s="22" t="str">
        <x:v>品牌×品牌／设计与产品系列</x:v>
      </x:c>
      <x:c r="G22" s="22" t="str">
        <x:v>LEGO元素运动鞋、服装及儿童产品</x:v>
      </x:c>
      <x:c r="H22" s="22" t="str">
        <x:v>2020年官方宣布多年合作；首期包括ZX8000联名鞋。</x:v>
      </x:c>
      <x:c r="I22" s="22" t="str">
        <x:v>产品机制参考</x:v>
      </x:c>
      <x:c r="J22" s="22" t="str">
        <x:v>A｜品牌/企业原始披露</x:v>
      </x:c>
      <x:c r="K22" s="22" t="str">
        <x:v>2020公布范围</x:v>
      </x:c>
      <x:c r="L22" s="22" t="str">
        <x:v>把积木的颜色、拼装感和运动产品结合，具有系列扩展空间。</x:v>
      </x:c>
      <x:c r="M22" s="22" t="str">
        <x:v>多年协议不等于已证明每期盈利；应区分成人收藏与儿童实穿需求。</x:v>
      </x:c>
      <x:c r="N22" s="22" t="str">
        <x:v>实际持续业绩、年龄段转化、授权利润</x:v>
      </x:c>
      <x:c r="O22" s="22" t="str">
        <x:v>年龄分层；设计语言；扩展性</x:v>
      </x:c>
      <x:c r="P22" s="22" t="str">
        <x:v>https://www.lego.com/en-us/aboutus/news/2020/october/adidas-lego-group-multi-year-partnership</x:v>
      </x:c>
      <x:c r="Q22" s="22" t="str">
        <x:v>https://www.lego.com/el-gr/aboutus/news/2020/september/adidas-partnership/</x:v>
      </x:c>
      <x:c r="R22" s="22" t="str">
        <x:v>2026-09-05</x:v>
      </x:c>
    </x:row>
    <x:row r="23" ht="116" customHeight="1">
      <x:c r="A23" s="22" t="str">
        <x:v>C18</x:v>
      </x:c>
      <x:c r="B23" s="22" t="str">
        <x:v>IKEA</x:v>
      </x:c>
      <x:c r="C23" s="22" t="str">
        <x:v>Sonos</x:v>
      </x:c>
      <x:c r="D23" s="22" t="str">
        <x:v>2019推出；2025宣布结束</x:v>
      </x:c>
      <x:c r="E23" s="22" t="str">
        <x:v>多市场</x:v>
      </x:c>
      <x:c r="F23" s="22" t="str">
        <x:v>品牌×品牌／技术与家居</x:v>
      </x:c>
      <x:c r="G23" s="22" t="str">
        <x:v>SYMFONISK书架音箱、台灯音箱等</x:v>
      </x:c>
      <x:c r="H23" s="22" t="str">
        <x:v>有多年产品迭代；2025年双方确认停止新产品合作并逐步售完库存。</x:v>
      </x:c>
      <x:c r="I23" s="22" t="str">
        <x:v>风险与混合结果</x:v>
      </x:c>
      <x:c r="J23" s="22" t="str">
        <x:v>B｜可靠媒体/行业机构报道</x:v>
      </x:c>
      <x:c r="K23" s="22" t="str">
        <x:v>2019—2025</x:v>
      </x:c>
      <x:c r="L23" s="22" t="str">
        <x:v>声学系统融入家具，既展示功能互补，也提示联网硬件的退出责任。</x:v>
      </x:c>
      <x:c r="M23" s="22" t="str">
        <x:v>合作结束不等于已经证明亏损；既有产品的软件支持与新产品停止须区分。</x:v>
      </x:c>
      <x:c r="N23" s="22" t="str">
        <x:v>结束的完整商业原因、项目盈亏、售后长期安排</x:v>
      </x:c>
      <x:c r="O23" s="22" t="str">
        <x:v>技术兼容；生命周期；退出</x:v>
      </x:c>
      <x:c r="P23" s="22" t="str">
        <x:v>https://www.ikea.com/global/en/newsroom/collaborations/ikea-and-sonos-shine-a-new-light-on-sound-190408/</x:v>
      </x:c>
      <x:c r="Q23" s="22" t="str">
        <x:v>https://www.theverge.com/news/661491/sonos-ikea-symfonisk-discontinued</x:v>
      </x:c>
      <x:c r="R23" s="22" t="str">
        <x:v>2026-09-05</x:v>
      </x:c>
    </x:row>
    <x:row r="24" ht="116" customHeight="1">
      <x:c r="A24" s="22" t="str">
        <x:v>C19</x:v>
      </x:c>
      <x:c r="B24" s="22" t="str">
        <x:v>Apple</x:v>
      </x:c>
      <x:c r="C24" s="22" t="str">
        <x:v>Nike</x:v>
      </x:c>
      <x:c r="D24" s="22" t="str">
        <x:v>2016 Apple Watch Nike+</x:v>
      </x:c>
      <x:c r="E24" s="22" t="str">
        <x:v>多市场</x:v>
      </x:c>
      <x:c r="F24" s="22" t="str">
        <x:v>品牌×品牌／技术与运动</x:v>
      </x:c>
      <x:c r="G24" s="22" t="str">
        <x:v>Apple Watch Nike+、运动表带、跑步软件体验</x:v>
      </x:c>
      <x:c r="H24" s="22" t="str">
        <x:v>官方确认硬件、设计和Nike跑步服务整合。</x:v>
      </x:c>
      <x:c r="I24" s="22" t="str">
        <x:v>产品机制参考</x:v>
      </x:c>
      <x:c r="J24" s="22" t="str">
        <x:v>A｜品牌/企业原始披露</x:v>
      </x:c>
      <x:c r="K24" s="22" t="str">
        <x:v>2016发布</x:v>
      </x:c>
      <x:c r="L24" s="22" t="str">
        <x:v>让技术能力嵌入跑步习惯，而不是只更换品牌标记。</x:v>
      </x:c>
      <x:c r="M24" s="22" t="str">
        <x:v>共同用户规模不能替代共同产品的活跃使用与留存。</x:v>
      </x:c>
      <x:c r="N24" s="22" t="str">
        <x:v>联名版增量销售、跑步活跃、双方净收益</x:v>
      </x:c>
      <x:c r="O24" s="22" t="str">
        <x:v>使用场景；技术体验；留存</x:v>
      </x:c>
      <x:c r="P24" s="22" t="str">
        <x:v>https://www.apple.com/newsroom/2016/09/apple-nike-launch-apple-watch-nike/</x:v>
      </x:c>
      <x:c r="Q24" s="22" t="str"/>
      <x:c r="R24" s="22" t="str">
        <x:v>2026-09-05</x:v>
      </x:c>
    </x:row>
    <x:row r="25" ht="116" customHeight="1">
      <x:c r="A25" s="22" t="str">
        <x:v>C20</x:v>
      </x:c>
      <x:c r="B25" s="22" t="str">
        <x:v>Apple</x:v>
      </x:c>
      <x:c r="C25" s="22" t="str">
        <x:v>Hermès</x:v>
      </x:c>
      <x:c r="D25" s="22" t="str">
        <x:v>2015起；2016后续款</x:v>
      </x:c>
      <x:c r="E25" s="22" t="str">
        <x:v>多市场</x:v>
      </x:c>
      <x:c r="F25" s="22" t="str">
        <x:v>品牌×品牌／技术与奢侈</x:v>
      </x:c>
      <x:c r="G25" s="22" t="str">
        <x:v>Apple Watch Hermès、皮革表带和专属表盘</x:v>
      </x:c>
      <x:c r="H25" s="22" t="str">
        <x:v>2015推出、2016官方继续发布新款式和颜色。</x:v>
      </x:c>
      <x:c r="I25" s="22" t="str">
        <x:v>合作延续有据</x:v>
      </x:c>
      <x:c r="J25" s="22" t="str">
        <x:v>A｜品牌/企业原始披露</x:v>
      </x:c>
      <x:c r="K25" s="22" t="str">
        <x:v>2015—2016已核对</x:v>
      </x:c>
      <x:c r="L25" s="22" t="str">
        <x:v>在同一技术平台上，以工艺与审美为高端客群提供不同购买理由。</x:v>
      </x:c>
      <x:c r="M25" s="22" t="str">
        <x:v>技术迭代周期和奢侈品耐久预期可能不同；不能仅按品牌档次评分。</x:v>
      </x:c>
      <x:c r="N25" s="22" t="str">
        <x:v>溢价转化、更新周期、联名版独立利润</x:v>
      </x:c>
      <x:c r="O25" s="22" t="str">
        <x:v>品牌层级；工艺；生命周期</x:v>
      </x:c>
      <x:c r="P25" s="22" t="str">
        <x:v>https://www.apple.com/ml/newsroom/2015/09/09Apple-and-Herm-s-Unveil-the-Apple-Watch-Herm-s-Collection/</x:v>
      </x:c>
      <x:c r="Q25" s="22" t="str">
        <x:v>https://www.apple.com/hk/en/newsroom/2016/09/07Apple-Watch-Herm-s-Introduces-New-Styles-Colors/</x:v>
      </x:c>
      <x:c r="R25" s="22" t="str">
        <x:v>2026-09-05</x:v>
      </x:c>
    </x:row>
    <x:row r="26" ht="116" customHeight="1">
      <x:c r="A26" s="22" t="str">
        <x:v>C21</x:v>
      </x:c>
      <x:c r="B26" s="22" t="str">
        <x:v>华为</x:v>
      </x:c>
      <x:c r="C26" s="22" t="str">
        <x:v>Leica</x:v>
      </x:c>
      <x:c r="D26" s="22" t="str">
        <x:v>2016 P9</x:v>
      </x:c>
      <x:c r="E26" s="22" t="str">
        <x:v>多市场</x:v>
      </x:c>
      <x:c r="F26" s="22" t="str">
        <x:v>品牌×品牌／技术共研</x:v>
      </x:c>
      <x:c r="G26" s="22" t="str">
        <x:v>P9/P9 Plus双摄手机与联合影像体验</x:v>
      </x:c>
      <x:c r="H26" s="22" t="str">
        <x:v>华为确认P9为双方联合工程开发产品；媒体转述该系列出货超过1000万台。</x:v>
      </x:c>
      <x:c r="I26" s="22" t="str">
        <x:v>销售表现有据</x:v>
      </x:c>
      <x:c r="J26" s="22" t="str">
        <x:v>B｜可靠媒体/行业机构报道</x:v>
      </x:c>
      <x:c r="K26" s="22" t="str">
        <x:v>2016年底系列出货</x:v>
      </x:c>
      <x:c r="L26" s="22" t="str">
        <x:v>把专业摄影能力与手机高频拍摄结合，联名为核心功能服务。</x:v>
      </x:c>
      <x:c r="M26" s="22" t="str">
        <x:v>出货不等于终端零售；全系列销量不能全部归因于Leica。</x:v>
      </x:c>
      <x:c r="N26" s="22" t="str">
        <x:v>联名影像的独立贡献、消费者偏好实验、合作利润</x:v>
      </x:c>
      <x:c r="O26" s="22" t="str">
        <x:v>技术贡献；质量；归因</x:v>
      </x:c>
      <x:c r="P26" s="22" t="str">
        <x:v>https://www.huawei.com/en/news/2016/4/huawei-p9-debuts-in-london</x:v>
      </x:c>
      <x:c r="Q26" s="22" t="str">
        <x:v>https://www.androidauthority.com/huawei-shipped-10-million-p9p9-plus-smartphones-globally-738778/</x:v>
      </x:c>
      <x:c r="R26" s="22" t="str">
        <x:v>2026-09-05</x:v>
      </x:c>
    </x:row>
    <x:row r="27" ht="116" customHeight="1">
      <x:c r="A27" s="22" t="str">
        <x:v>C22</x:v>
      </x:c>
      <x:c r="B27" s="22" t="str">
        <x:v>Samsung</x:v>
      </x:c>
      <x:c r="C27" s="22" t="str">
        <x:v>Thom Browne</x:v>
      </x:c>
      <x:c r="D27" s="22" t="str">
        <x:v>2020</x:v>
      </x:c>
      <x:c r="E27" s="22" t="str">
        <x:v>韩国等市场</x:v>
      </x:c>
      <x:c r="F27" s="22" t="str">
        <x:v>品牌×品牌／设计套装</x:v>
      </x:c>
      <x:c r="G27" s="22" t="str">
        <x:v>Galaxy Z Flip Thom Browne版及手表、耳机套装</x:v>
      </x:c>
      <x:c r="H27" s="22" t="str">
        <x:v>韩联社援引三星：韩国首发约2.5小时售罄；首批数量未披露。</x:v>
      </x:c>
      <x:c r="I27" s="22" t="str">
        <x:v>销售表现有据</x:v>
      </x:c>
      <x:c r="J27" s="22" t="str">
        <x:v>B｜可靠媒体/行业机构报道</x:v>
      </x:c>
      <x:c r="K27" s="22" t="str">
        <x:v>韩国首发</x:v>
      </x:c>
      <x:c r="L27" s="22" t="str">
        <x:v>不是孤立贴标，而是设备、配件与界面的统一生活方式设计。</x:v>
      </x:c>
      <x:c r="M27" s="22" t="str">
        <x:v>限量售罄只能证明这批货的供需；不能推断规模利润。</x:v>
      </x:c>
      <x:c r="N27" s="22" t="str">
        <x:v>首批数量、总销售额、复购和新增高端客户</x:v>
      </x:c>
      <x:c r="O27" s="22" t="str">
        <x:v>设计一致性；价格；供货分母</x:v>
      </x:c>
      <x:c r="P27" s="22" t="str">
        <x:v>https://news.samsung.com/global/samsung-and-iconic-fashion-brand-thom-browne-collaborate-on-limited-edition-galaxy-z-flip</x:v>
      </x:c>
      <x:c r="Q27" s="22" t="str">
        <x:v>https://en.yna.co.kr/view/AEN20200221002800320</x:v>
      </x:c>
      <x:c r="R27" s="22" t="str">
        <x:v>2026-09-05</x:v>
      </x:c>
    </x:row>
    <x:row r="28" ht="116" customHeight="1">
      <x:c r="A28" s="22" t="str">
        <x:v>C23</x:v>
      </x:c>
      <x:c r="B28" s="22" t="str">
        <x:v>GoPro</x:v>
      </x:c>
      <x:c r="C28" s="22" t="str">
        <x:v>Red Bull</x:v>
      </x:c>
      <x:c r="D28" s="22" t="str">
        <x:v>2016</x:v>
      </x:c>
      <x:c r="E28" s="22" t="str">
        <x:v>多市场</x:v>
      </x:c>
      <x:c r="F28" s="22" t="str">
        <x:v>品牌×品牌／内容与战略合作</x:v>
      </x:c>
      <x:c r="G28" s="22" t="str">
        <x:v>运动事件影像、联合制作及跨平台分发内容</x:v>
      </x:c>
      <x:c r="H28" s="22" t="str">
        <x:v>官方宣布多年内容、分发与创新合作，包含内容权利安排和股权关系。</x:v>
      </x:c>
      <x:c r="I28" s="22" t="str">
        <x:v>产品机制参考</x:v>
      </x:c>
      <x:c r="J28" s="22" t="str">
        <x:v>A｜品牌/企业原始披露</x:v>
      </x:c>
      <x:c r="K28" s="22" t="str">
        <x:v>2016协议范围</x:v>
      </x:c>
      <x:c r="L28" s="22" t="str">
        <x:v>一方提供拍摄能力，另一方提供事件与受众，产物是可重复利用的内容资产。</x:v>
      </x:c>
      <x:c r="M28" s="22" t="str">
        <x:v>协议可触达的活动数量不等于实际观看或成交；内容使用权要明确。</x:v>
      </x:c>
      <x:c r="N28" s="22" t="str">
        <x:v>实际内容产量、增量触达、设备转化和合作成本</x:v>
      </x:c>
      <x:c r="O28" s="22" t="str">
        <x:v>资源互补；内容权利；渠道</x:v>
      </x:c>
      <x:c r="P28" s="22" t="str">
        <x:v>https://gopro.com/en/sa/news/gopro-and-red-bull-form-exclusive-global-partnership</x:v>
      </x:c>
      <x:c r="Q28" s="22" t="str">
        <x:v>https://www.prnewswire.com/news-releases/gopro-and-red-bull-form-exclusive-global-partnership-300273533.html</x:v>
      </x:c>
      <x:c r="R28" s="22" t="str">
        <x:v>2026-09-05</x:v>
      </x:c>
    </x:row>
    <x:row r="29" ht="116" customHeight="1">
      <x:c r="A29" s="22" t="str">
        <x:v>C24</x:v>
      </x:c>
      <x:c r="B29" s="22" t="str">
        <x:v>Starbucks</x:v>
      </x:c>
      <x:c r="C29" s="22" t="str">
        <x:v>Spotify</x:v>
      </x:c>
      <x:c r="D29" s="22" t="str">
        <x:v>2015宣布；2016落地</x:v>
      </x:c>
      <x:c r="E29" s="22" t="str">
        <x:v>美国等</x:v>
      </x:c>
      <x:c r="F29" s="22" t="str">
        <x:v>品牌×品牌／数字与门店体验</x:v>
      </x:c>
      <x:c r="G29" s="22" t="str">
        <x:v>门店音乐发现、播放列表与Spotify互动</x:v>
      </x:c>
      <x:c r="H29" s="22" t="str">
        <x:v>公开报道和星巴克官方音乐页可确认音乐发现与播放列表合作。</x:v>
      </x:c>
      <x:c r="I29" s="22" t="str">
        <x:v>产品机制参考</x:v>
      </x:c>
      <x:c r="J29" s="22" t="str">
        <x:v>B｜可靠媒体/行业机构报道</x:v>
      </x:c>
      <x:c r="K29" s="22" t="str">
        <x:v>2015—2016机制及官方页面</x:v>
      </x:c>
      <x:c r="L29" s="22" t="str">
        <x:v>把门店听歌的短暂体验，延长到消费者离店后的数字触点。</x:v>
      </x:c>
      <x:c r="M29" s="22" t="str">
        <x:v>播放量未必带来咖啡购买；跨平台数据、同意与归因要单独设计。</x:v>
      </x:c>
      <x:c r="N29" s="22" t="str">
        <x:v>使用人数、到店回流、增量订阅与消费</x:v>
      </x:c>
      <x:c r="O29" s="22" t="str">
        <x:v>体验延长；数字触点；数据</x:v>
      </x:c>
      <x:c r="P29" s="22" t="str">
        <x:v>https://www.thedrum.com/news/starbucks-kicks-action-its-store-music-discovery-venture-spotify</x:v>
      </x:c>
      <x:c r="Q29" s="22" t="str">
        <x:v>https://www.starbucks.com/rewards/music/</x:v>
      </x:c>
      <x:c r="R29" s="22" t="str">
        <x:v>2026-09-05</x:v>
      </x:c>
    </x:row>
    <x:row r="30" ht="116" customHeight="1">
      <x:c r="A30" s="22" t="str">
        <x:v>C25</x:v>
      </x:c>
      <x:c r="B30" s="22" t="str">
        <x:v>Coca-Cola</x:v>
      </x:c>
      <x:c r="C30" s="22" t="str">
        <x:v>OREO</x:v>
      </x:c>
      <x:c r="D30" s="22" t="str">
        <x:v>2024</x:v>
      </x:c>
      <x:c r="E30" s="22" t="str">
        <x:v>多市场</x:v>
      </x:c>
      <x:c r="F30" s="22" t="str">
        <x:v>品牌×品牌／双向产品</x:v>
      </x:c>
      <x:c r="G30" s="22" t="str">
        <x:v>OREO风味无糖可乐、可乐风味OREO饼干及数字互动</x:v>
      </x:c>
      <x:c r="H30" s="22" t="str">
        <x:v>双方官方确认双向新品，不只是单向印包装；独立销售效果未披露。</x:v>
      </x:c>
      <x:c r="I30" s="22" t="str">
        <x:v>产品机制参考</x:v>
      </x:c>
      <x:c r="J30" s="22" t="str">
        <x:v>A｜品牌/企业原始披露</x:v>
      </x:c>
      <x:c r="K30" s="22" t="str">
        <x:v>2024发布</x:v>
      </x:c>
      <x:c r="L30" s="22" t="str">
        <x:v>让双方都把对方的感官特征变成自己的产品，形成对称的新鲜感。</x:v>
      </x:c>
      <x:c r="M30" s="22" t="str">
        <x:v>猎奇口味能驱动尝鲜，但应盲测产品本身能否支撑再次购买。</x:v>
      </x:c>
      <x:c r="N30" s="22" t="str">
        <x:v>两款分别的复购、净新增、售罄率和贡献利润</x:v>
      </x:c>
      <x:c r="O30" s="22" t="str">
        <x:v>感官互补；双向利益；复购</x:v>
      </x:c>
      <x:c r="P30" s="22" t="str">
        <x:v>https://www.coca-colacompany.com/media-center/coca-cola-and-the-oreo-brand-are-teaming-up</x:v>
      </x:c>
      <x:c r="Q30" s="22" t="str">
        <x:v>https://www.mondelezinternational.com/news/coca-cola-and-the-oreo-brands-become-besties/</x:v>
      </x:c>
      <x:c r="R30" s="22" t="str">
        <x:v>2026-09-05</x:v>
      </x:c>
    </x:row>
    <x:row r="31" ht="116" customHeight="1">
      <x:c r="A31" s="22" t="str">
        <x:v>C26</x:v>
      </x:c>
      <x:c r="B31" s="22" t="str">
        <x:v>Heinz</x:v>
      </x:c>
      <x:c r="C31" s="22" t="str">
        <x:v>Absolut</x:v>
      </x:c>
      <x:c r="D31" s="22" t="str">
        <x:v>2023</x:v>
      </x:c>
      <x:c r="E31" s="22" t="str">
        <x:v>英国为主</x:v>
      </x:c>
      <x:c r="F31" s="22" t="str">
        <x:v>品牌×品牌／配方共创</x:v>
      </x:c>
      <x:c r="G31" s="22" t="str">
        <x:v>番茄伏特加意面酱</x:v>
      </x:c>
      <x:c r="H31" s="22" t="str">
        <x:v>官方发布限量联名意面酱；本库不把代理商传播成绩视为独立盈利证明。</x:v>
      </x:c>
      <x:c r="I31" s="22" t="str">
        <x:v>产品机制参考</x:v>
      </x:c>
      <x:c r="J31" s="22" t="str">
        <x:v>A｜品牌/企业原始披露</x:v>
      </x:c>
      <x:c r="K31" s="22" t="str">
        <x:v>2023活动期</x:v>
      </x:c>
      <x:c r="L31" s="22" t="str">
        <x:v>两个品牌在一道真实菜谱里自然相遇，使用理由先于品牌噱头。</x:v>
      </x:c>
      <x:c r="M31" s="22" t="str">
        <x:v>需要核查实际配方、食品标识、价格和复购；不以酒类品牌知名度替代产品测试。</x:v>
      </x:c>
      <x:c r="N31" s="22" t="str">
        <x:v>活动净收入、复购与双方成本分配</x:v>
      </x:c>
      <x:c r="O31" s="22" t="str">
        <x:v>使用场景；配方；价格</x:v>
      </x:c>
      <x:c r="P31" s="22" t="str">
        <x:v>https://theabsolutcompany.com/media-room/press-release/absolut-vodka-partners-with-heinz-to-launch-a-new-limited-edition-pasta-sauce/</x:v>
      </x:c>
      <x:c r="Q31" s="22" t="str">
        <x:v>https://www.absolut.com/en-gb/campaign/heinz-x-absolut/</x:v>
      </x:c>
      <x:c r="R31" s="22" t="str">
        <x:v>2026-09-05</x:v>
      </x:c>
    </x:row>
    <x:row r="32" ht="116" customHeight="1">
      <x:c r="A32" s="22" t="str">
        <x:v>C27</x:v>
      </x:c>
      <x:c r="B32" s="22" t="str">
        <x:v>Taco Bell</x:v>
      </x:c>
      <x:c r="C32" s="22" t="str">
        <x:v>Doritos</x:v>
      </x:c>
      <x:c r="D32" s="22" t="str">
        <x:v>2012起</x:v>
      </x:c>
      <x:c r="E32" s="22" t="str">
        <x:v>美国为主</x:v>
      </x:c>
      <x:c r="F32" s="22" t="str">
        <x:v>品牌×品牌／核心产品共创</x:v>
      </x:c>
      <x:c r="G32" s="22" t="str">
        <x:v>Doritos Locos Tacos风味玉米脆壳；后续反向推出袋装薯片</x:v>
      </x:c>
      <x:c r="H32" s="22" t="str">
        <x:v>百事2013年4月披露：自2012年3月上市已售逾3.75亿个Nacho Cheese款。</x:v>
      </x:c>
      <x:c r="I32" s="22" t="str">
        <x:v>销售表现有据</x:v>
      </x:c>
      <x:c r="J32" s="22" t="str">
        <x:v>A｜品牌/企业原始披露</x:v>
      </x:c>
      <x:c r="K32" s="22" t="str">
        <x:v>2012年3月—2013年4月</x:v>
      </x:c>
      <x:c r="L32" s="22" t="str">
        <x:v>把对方最有辨识度的味觉资产放进自己主力产品结构。</x:v>
      </x:c>
      <x:c r="M32" s="22" t="str">
        <x:v>成功需要配方、生产和店内操作适配；不是任何零食都能直接变外壳。</x:v>
      </x:c>
      <x:c r="N32" s="22" t="str">
        <x:v>项目利润、同类产品替代率、授权或分成条款</x:v>
      </x:c>
      <x:c r="O32" s="22" t="str">
        <x:v>功能融合；产线；长期需求</x:v>
      </x:c>
      <x:c r="P32" s="22" t="str">
        <x:v>https://www.pepsico.com/en/newsroom/press-releases/2013/doritos-locos-tacos-tortilla-chips-hit-the-chip-aisle</x:v>
      </x:c>
      <x:c r="Q32" s="22" t="str">
        <x:v>https://www.tacobell.com/food/tacos</x:v>
      </x:c>
      <x:c r="R32" s="22" t="str">
        <x:v>2026-09-05</x:v>
      </x:c>
    </x:row>
    <x:row r="33" ht="116" customHeight="1">
      <x:c r="A33" s="22" t="str">
        <x:v>C28</x:v>
      </x:c>
      <x:c r="B33" s="22" t="str">
        <x:v>KFC</x:v>
      </x:c>
      <x:c r="C33" s="22" t="str">
        <x:v>Crocs</x:v>
      </x:c>
      <x:c r="D33" s="22" t="str">
        <x:v>2020</x:v>
      </x:c>
      <x:c r="E33" s="22" t="str">
        <x:v>部分市场／线上</x:v>
      </x:c>
      <x:c r="F33" s="22" t="str">
        <x:v>品牌×品牌／视觉与收藏</x:v>
      </x:c>
      <x:c r="G33" s="22" t="str">
        <x:v>炸鸡图案Classic Clog及鸡腿鞋饰</x:v>
      </x:c>
      <x:c r="H33" s="22" t="str">
        <x:v>Crocs官方页标示售罄；媒体报道上线不到半小时售罄。</x:v>
      </x:c>
      <x:c r="I33" s="22" t="str">
        <x:v>销售表现有据</x:v>
      </x:c>
      <x:c r="J33" s="22" t="str">
        <x:v>B｜可靠媒体/行业机构报道</x:v>
      </x:c>
      <x:c r="K33" s="22" t="str">
        <x:v>首发半小时</x:v>
      </x:c>
      <x:c r="L33" s="22" t="str">
        <x:v>将食物符号转成可穿戴、可展示的幽默消费品。</x:v>
      </x:c>
      <x:c r="M33" s="22" t="str">
        <x:v>不能把宣传用夸张高台鞋误认为实际零售款；首批量与利润未知。</x:v>
      </x:c>
      <x:c r="N33" s="22" t="str">
        <x:v>首批数量、独立利润、核心客户态度</x:v>
      </x:c>
      <x:c r="O33" s="22" t="str">
        <x:v>视觉资产；社交表达；产物核对</x:v>
      </x:c>
      <x:c r="P33" s="22" t="str">
        <x:v>https://www.crocs.com/KFC.html</x:v>
      </x:c>
      <x:c r="Q33" s="22" t="str">
        <x:v>https://www.businessinsider.com/kfc-crocs-sold-out-less-than-half-an-hour-after-launch-2020-7</x:v>
      </x:c>
      <x:c r="R33" s="22" t="str">
        <x:v>2026-09-05</x:v>
      </x:c>
    </x:row>
    <x:row r="34" ht="116" customHeight="1">
      <x:c r="A34" s="22" t="str">
        <x:v>C29</x:v>
      </x:c>
      <x:c r="B34" s="22" t="str">
        <x:v>McDonald’s</x:v>
      </x:c>
      <x:c r="C34" s="22" t="str">
        <x:v>Crocs</x:v>
      </x:c>
      <x:c r="D34" s="22" t="str">
        <x:v>2023鞋款；2024玩具</x:v>
      </x:c>
      <x:c r="E34" s="22" t="str">
        <x:v>多市场</x:v>
      </x:c>
      <x:c r="F34" s="22" t="str">
        <x:v>品牌×品牌／双向周边</x:v>
      </x:c>
      <x:c r="G34" s="22" t="str">
        <x:v>角色主题鞋、袜与鞋饰；后续Happy Meal迷你鞋玩具</x:v>
      </x:c>
      <x:c r="H34" s="22" t="str">
        <x:v>2023官方推出鞋服周边；2024又出现联名Happy Meal玩具。</x:v>
      </x:c>
      <x:c r="I34" s="22" t="str">
        <x:v>合作延续有据</x:v>
      </x:c>
      <x:c r="J34" s="22" t="str">
        <x:v>B｜可靠媒体/行业机构报道</x:v>
      </x:c>
      <x:c r="K34" s="22" t="str">
        <x:v>2023—2024</x:v>
      </x:c>
      <x:c r="L34" s="22" t="str">
        <x:v>同一组资产能在双方不同价格和消费频次的渠道中反向应用。</x:v>
      </x:c>
      <x:c r="M34" s="22" t="str">
        <x:v>玩具与鞋履的购买者、毛利和风险不同，不能合并计算转化。</x:v>
      </x:c>
      <x:c r="N34" s="22" t="str">
        <x:v>两阶段各自销量、儿童与成人分群、利润</x:v>
      </x:c>
      <x:c r="O34" s="22" t="str">
        <x:v>双向渠道；产品阶梯；客群</x:v>
      </x:c>
      <x:c r="P34" s="22" t="str">
        <x:v>https://corporate.mcdonalds.com/corpmcd/our-stories/article/mcd-crocs-dropping-global-collab-designedfor-nextlevel-fandom.html</x:v>
      </x:c>
      <x:c r="Q34" s="22" t="str">
        <x:v>https://abcnews.com/GMA/Food/mcdonalds-teams-crocs-special-happy-meal-toy/story?id=113622182</x:v>
      </x:c>
      <x:c r="R34" s="22" t="str">
        <x:v>2026-09-05</x:v>
      </x:c>
    </x:row>
    <x:row r="35" ht="116" customHeight="1">
      <x:c r="A35" s="22" t="str">
        <x:v>C30</x:v>
      </x:c>
      <x:c r="B35" s="22" t="str">
        <x:v>Nike SB</x:v>
      </x:c>
      <x:c r="C35" s="22" t="str">
        <x:v>Ben &amp; Jerry’s</x:v>
      </x:c>
      <x:c r="D35" s="22" t="str">
        <x:v>2020</x:v>
      </x:c>
      <x:c r="E35" s="22" t="str">
        <x:v>多市场</x:v>
      </x:c>
      <x:c r="F35" s="22" t="str">
        <x:v>品牌×品牌／标志设计共创</x:v>
      </x:c>
      <x:c r="G35" s="22" t="str">
        <x:v>Chunky Dunky SB Dunk Low运动鞋</x:v>
      </x:c>
      <x:c r="H35" s="22" t="str">
        <x:v>Nike档案可确认设计；媒体记录发售迅速售罄。</x:v>
      </x:c>
      <x:c r="I35" s="22" t="str">
        <x:v>销售表现有据</x:v>
      </x:c>
      <x:c r="J35" s="22" t="str">
        <x:v>B｜可靠媒体/行业机构报道</x:v>
      </x:c>
      <x:c r="K35" s="22" t="str">
        <x:v>2020发售</x:v>
      </x:c>
      <x:c r="L35" s="22" t="str">
        <x:v>把冰淇淋包装的奶牛、天空、融化图形转为鞋材和鞋身结构。</x:v>
      </x:c>
      <x:c r="M35" s="22" t="str">
        <x:v>转售价格并非品牌直接收入；限量市场不代表可无限扩张需求。</x:v>
      </x:c>
      <x:c r="N35" s="22" t="str">
        <x:v>首次零售量、利润、新客占比</x:v>
      </x:c>
      <x:c r="O35" s="22" t="str">
        <x:v>品牌图形；材质转译；收藏</x:v>
      </x:c>
      <x:c r="P35" s="22" t="str">
        <x:v>https://www.nike.com/launch/t/dna-artifacts-sb-dunk-low-x-ben-jerrys-chunky-dunky</x:v>
      </x:c>
      <x:c r="Q35" s="22" t="str">
        <x:v>https://abc7ny.com/post/nike-ben-and-jerrys-release-sneaker-the-chunky-dunky/6212345/</x:v>
      </x:c>
      <x:c r="R35" s="22" t="str">
        <x:v>2026-09-05</x:v>
      </x:c>
    </x:row>
    <x:row r="36" ht="116" customHeight="1">
      <x:c r="A36" s="22" t="str">
        <x:v>C31</x:v>
      </x:c>
      <x:c r="B36" s="22" t="str">
        <x:v>LOEWE</x:v>
      </x:c>
      <x:c r="C36" s="22" t="str">
        <x:v>Studio Ghibli</x:v>
      </x:c>
      <x:c r="D36" s="22" t="str">
        <x:v>2021—2023三部系列</x:v>
      </x:c>
      <x:c r="E36" s="22" t="str">
        <x:v>多市场</x:v>
      </x:c>
      <x:c r="F36" s="22" t="str">
        <x:v>品牌×动画IP</x:v>
      </x:c>
      <x:c r="G36" s="22" t="str">
        <x:v>《龙猫》《千与千寻》《哈尔的移动城堡》服装、皮具和配饰</x:v>
      </x:c>
      <x:c r="H36" s="22" t="str">
        <x:v>LOEWE官方将2023系列称为双方第三个、也是最后一个系列。</x:v>
      </x:c>
      <x:c r="I36" s="22" t="str">
        <x:v>合作延续有据</x:v>
      </x:c>
      <x:c r="J36" s="22" t="str">
        <x:v>A｜品牌/企业原始披露</x:v>
      </x:c>
      <x:c r="K36" s="22" t="str">
        <x:v>2021—2023</x:v>
      </x:c>
      <x:c r="L36" s="22" t="str">
        <x:v>把IP细节转化为刺绣、皮革等工艺对象，而非只复制人物印花。</x:v>
      </x:c>
      <x:c r="M36" s="22" t="str">
        <x:v>按计划结束系列不应标记为失败；单独财务结果未公开。</x:v>
      </x:c>
      <x:c r="N36" s="22" t="str">
        <x:v>各期销售、工艺增量成本、老客与新客比例</x:v>
      </x:c>
      <x:c r="O36" s="22" t="str">
        <x:v>工艺；IP转译；计划性退出</x:v>
      </x:c>
      <x:c r="P36" s="22" t="str">
        <x:v>https://www.loewe.com/int/en/stories-collection/loewe-howls-moving-castle.html</x:v>
      </x:c>
      <x:c r="Q36" s="22" t="str">
        <x:v>https://www.teenvogue.com/story/loewe-spirited-away-capsule-collection</x:v>
      </x:c>
      <x:c r="R36" s="22" t="str">
        <x:v>2026-09-05</x:v>
      </x:c>
    </x:row>
    <x:row r="37" ht="116" customHeight="1">
      <x:c r="A37" s="22" t="str">
        <x:v>C32</x:v>
      </x:c>
      <x:c r="B37" s="22" t="str">
        <x:v>Xbox</x:v>
      </x:c>
      <x:c r="C37" s="22" t="str">
        <x:v>Barbie</x:v>
      </x:c>
      <x:c r="D37" s="22" t="str">
        <x:v>2023</x:v>
      </x:c>
      <x:c r="E37" s="22" t="str">
        <x:v>多市场</x:v>
      </x:c>
      <x:c r="F37" s="22" t="str">
        <x:v>品牌×影视IP／数字体验</x:v>
      </x:c>
      <x:c r="G37" s="22" t="str">
        <x:v>Forza Horizon 5联名车辆、抽奖定制主机和手柄</x:v>
      </x:c>
      <x:c r="H37" s="22" t="str">
        <x:v>Xbox官方公布游戏车辆与赠品合作；定制主机不是常规大规模零售新品。</x:v>
      </x:c>
      <x:c r="I37" s="22" t="str">
        <x:v>产品机制参考</x:v>
      </x:c>
      <x:c r="J37" s="22" t="str">
        <x:v>A｜品牌/企业原始披露</x:v>
      </x:c>
      <x:c r="K37" s="22" t="str">
        <x:v>2023电影宣传期</x:v>
      </x:c>
      <x:c r="L37" s="22" t="str">
        <x:v>一个IP可分别映射为游戏内容、实体赠品和传播视觉。</x:v>
      </x:c>
      <x:c r="M37" s="22" t="str">
        <x:v>抽奖赠品曝光不能当作主机销售；数字内容需要玩法与用户价值。</x:v>
      </x:c>
      <x:c r="N37" s="22" t="str">
        <x:v>内容使用率、游戏新增和留存、增量主机购买</x:v>
      </x:c>
      <x:c r="O37" s="22" t="str">
        <x:v>产物分层；数字体验；指标</x:v>
      </x:c>
      <x:c r="P37" s="22" t="str">
        <x:v>https://news.xbox.com/en-us/2023/06/26/xbox-barbie/</x:v>
      </x:c>
      <x:c r="Q37" s="22" t="str">
        <x:v>https://forza.net/news/forza-horizon-5-barbie</x:v>
      </x:c>
      <x:c r="R37" s="22" t="str">
        <x:v>2026-09-05</x:v>
      </x:c>
    </x:row>
    <x:row r="38" ht="116" customHeight="1">
      <x:c r="A38" s="22" t="str">
        <x:v>C33</x:v>
      </x:c>
      <x:c r="B38" s="22" t="str">
        <x:v>Airbnb</x:v>
      </x:c>
      <x:c r="C38" s="22" t="str">
        <x:v>Barbie</x:v>
      </x:c>
      <x:c r="D38" s="22" t="str">
        <x:v>2023</x:v>
      </x:c>
      <x:c r="E38" s="22" t="str">
        <x:v>美国／全球传播</x:v>
      </x:c>
      <x:c r="F38" s="22" t="str">
        <x:v>品牌×影视IP／沉浸体验</x:v>
      </x:c>
      <x:c r="G38" s="22" t="str">
        <x:v>以Ken为叙事主角的Malibu DreamHouse限量住宿体验</x:v>
      </x:c>
      <x:c r="H38" s="22" t="str">
        <x:v>Airbnb官方推出可预约的电影主题体验；不属于规模化酒店产品。</x:v>
      </x:c>
      <x:c r="I38" s="22" t="str">
        <x:v>产品机制参考</x:v>
      </x:c>
      <x:c r="J38" s="22" t="str">
        <x:v>A｜品牌/企业原始披露</x:v>
      </x:c>
      <x:c r="K38" s="22" t="str">
        <x:v>2023电影宣传期</x:v>
      </x:c>
      <x:c r="L38" s="22" t="str">
        <x:v>把抽象世界观变成真实可进入的场景，使少量体验产生内容素材。</x:v>
      </x:c>
      <x:c r="M38" s="22" t="str">
        <x:v>体验容量极小，不能用传统客房收入逻辑直接评价活动。</x:v>
      </x:c>
      <x:c r="N38" s="22" t="str">
        <x:v>合格触达、搜索与预约增量、制作成本</x:v>
      </x:c>
      <x:c r="O38" s="22" t="str">
        <x:v>沉浸场景；稀缺体验；传播归因</x:v>
      </x:c>
      <x:c r="P38" s="22" t="str">
        <x:v>https://news.airbnb.com/barbies-malibu-dreamhouse-is-back-on-airbnb-but-this-time-kens-hosting</x:v>
      </x:c>
      <x:c r="Q38" s="22" t="str"/>
      <x:c r="R38" s="22" t="str">
        <x:v>2026-09-05</x:v>
      </x:c>
    </x:row>
    <x:row r="39" ht="116" customHeight="1">
      <x:c r="A39" s="22" t="str">
        <x:v>C34</x:v>
      </x:c>
      <x:c r="B39" s="22" t="str">
        <x:v>Starbucks</x:v>
      </x:c>
      <x:c r="C39" s="22" t="str">
        <x:v>Delta Air Lines</x:v>
      </x:c>
      <x:c r="D39" s="22" t="str">
        <x:v>2022推出；2026调整</x:v>
      </x:c>
      <x:c r="E39" s="22" t="str">
        <x:v>美国</x:v>
      </x:c>
      <x:c r="F39" s="22" t="str">
        <x:v>品牌×品牌／会员互通</x:v>
      </x:c>
      <x:c r="G39" s="22" t="str">
        <x:v>关联账户后的消费里程与会员权益</x:v>
      </x:c>
      <x:c r="H39" s="22" t="str">
        <x:v>双方2022推出合作；2026年7月官方再次更新权益，8月5日起实施新规则。</x:v>
      </x:c>
      <x:c r="I39" s="22" t="str">
        <x:v>合作延续有据</x:v>
      </x:c>
      <x:c r="J39" s="22" t="str">
        <x:v>A｜品牌/企业原始披露</x:v>
      </x:c>
      <x:c r="K39" s="22" t="str">
        <x:v>2022—2026年8月</x:v>
      </x:c>
      <x:c r="L39" s="22" t="str">
        <x:v>用高频消费与低频旅行结合，创造跨场景的持续奖励。</x:v>
      </x:c>
      <x:c r="M39" s="22" t="str">
        <x:v>有资格条件；积分成本、关联隐私、用户真实使用不能省略。</x:v>
      </x:c>
      <x:c r="N39" s="22" t="str">
        <x:v>账户绑定后的净新增消费、里程成本、留存</x:v>
      </x:c>
      <x:c r="O39" s="22" t="str">
        <x:v>会员价值；频次互补；数据</x:v>
      </x:c>
      <x:c r="P39" s="22" t="str">
        <x:v>https://www.businesswire.com/news/home/20221012005304/en/Delta-Air-Lines-and-Starbucks-Launch-Loyalty-Partnership</x:v>
      </x:c>
      <x:c r="Q39" s="22" t="str">
        <x:v>https://about.starbucks.com/press/2026/starbucks-and-delta-bring-back-member-favorite-way-to-earn-miles/</x:v>
      </x:c>
      <x:c r="R39" s="22" t="str">
        <x:v>2026-09-05</x:v>
      </x:c>
    </x:row>
    <x:row r="40" ht="116" customHeight="1">
      <x:c r="A40" s="22" t="str">
        <x:v>C35</x:v>
      </x:c>
      <x:c r="B40" s="22" t="str">
        <x:v>Sephora</x:v>
      </x:c>
      <x:c r="C40" s="22" t="str">
        <x:v>Kohl’s</x:v>
      </x:c>
      <x:c r="D40" s="22" t="str">
        <x:v>2021门店落地</x:v>
      </x:c>
      <x:c r="E40" s="22" t="str">
        <x:v>美国</x:v>
      </x:c>
      <x:c r="F40" s="22" t="str">
        <x:v>渠道与店中店联盟</x:v>
      </x:c>
      <x:c r="G40" s="22" t="str">
        <x:v>Sephora at Kohl’s店中店、美妆选品与零售体验</x:v>
      </x:c>
      <x:c r="H40" s="22" t="str">
        <x:v>Kohl’s披露2023年该业务销售额超过14亿美元。</x:v>
      </x:c>
      <x:c r="I40" s="22" t="str">
        <x:v>销售表现有据</x:v>
      </x:c>
      <x:c r="J40" s="22" t="str">
        <x:v>A｜品牌/企业原始披露</x:v>
      </x:c>
      <x:c r="K40" s="22" t="str">
        <x:v>2023全年</x:v>
      </x:c>
      <x:c r="L40" s="22" t="str">
        <x:v>把专业选品与服务送入现成门店网络，合作产物是持续经营渠道。</x:v>
      </x:c>
      <x:c r="M40" s="22" t="str">
        <x:v>该业务热销不代表Kohl’s所有业务表现良好；销售额不是双方利润。</x:v>
      </x:c>
      <x:c r="N40" s="22" t="str">
        <x:v>店级增量贡献、改造投资回收、交叉购买</x:v>
      </x:c>
      <x:c r="O40" s="22" t="str">
        <x:v>渠道互补；投入回收；分账</x:v>
      </x:c>
      <x:c r="P40" s="22" t="str">
        <x:v>https://corporate.kohls.com/news/nqqydduj4u2cv2xihf05p6s1udu4y5</x:v>
      </x:c>
      <x:c r="Q40" s="22" t="str"/>
      <x:c r="R40" s="22" t="str">
        <x:v>2026-09-05</x:v>
      </x:c>
    </x:row>
    <x:row r="41" ht="116" customHeight="1">
      <x:c r="A41" s="22" t="str">
        <x:v>C36</x:v>
      </x:c>
      <x:c r="B41" s="22" t="str">
        <x:v>Nestlé</x:v>
      </x:c>
      <x:c r="C41" s="22" t="str">
        <x:v>Starbucks</x:v>
      </x:c>
      <x:c r="D41" s="22" t="str">
        <x:v>2018联盟；2023五周年</x:v>
      </x:c>
      <x:c r="E41" s="22" t="str">
        <x:v>多市场</x:v>
      </x:c>
      <x:c r="F41" s="22" t="str">
        <x:v>长期品牌授权与渠道联盟</x:v>
      </x:c>
      <x:c r="G41" s="22" t="str">
        <x:v>Starbucks胶囊、咖啡豆、研磨及速溶产品和餐饮渠道供给</x:v>
      </x:c>
      <x:c r="H41" s="22" t="str">
        <x:v>Nestlé称2022年Starbucks业务带来16亿美元增量销售；为企业使用的口径。</x:v>
      </x:c>
      <x:c r="I41" s="22" t="str">
        <x:v>销售表现有据</x:v>
      </x:c>
      <x:c r="J41" s="22" t="str">
        <x:v>A｜品牌/企业原始披露</x:v>
      </x:c>
      <x:c r="K41" s="22" t="str">
        <x:v>2022业绩；2023披露</x:v>
      </x:c>
      <x:c r="L41" s="22" t="str">
        <x:v>品牌与咖啡知识，结合制造、胶囊平台及全球分销能力。</x:v>
      </x:c>
      <x:c r="M41" s="22" t="str">
        <x:v>这是长期授权联盟，不是普通限时贴标；增量基准和授权成本须核实。</x:v>
      </x:c>
      <x:c r="N41" s="22" t="str">
        <x:v>可比较基线、授权后利润、资本与渠道成本</x:v>
      </x:c>
      <x:c r="O41" s="22" t="str">
        <x:v>能力互补；许可；全球分销</x:v>
      </x:c>
      <x:c r="P41" s="22" t="str">
        <x:v>https://www.nestle.com/media/news/nestle-starbucks-five-years-global-coffee-alliance</x:v>
      </x:c>
      <x:c r="Q41" s="22" t="str">
        <x:v>https://www.nestle.com/media/pressreleases/allpressreleases/nestle-starbucks-close-deal-consumer-packaged-goods-foodservice-products</x:v>
      </x:c>
      <x:c r="R41" s="22" t="str">
        <x:v>2026-09-05</x:v>
      </x:c>
    </x:row>
    <x:row r="42" ht="116" customHeight="1">
      <x:c r="A42" s="22" t="str">
        <x:v>C37</x:v>
      </x:c>
      <x:c r="B42" s="22" t="str">
        <x:v>adidas</x:v>
      </x:c>
      <x:c r="C42" s="22" t="str">
        <x:v>Parley for the Oceans</x:v>
      </x:c>
      <x:c r="D42" s="22" t="str">
        <x:v>2015起；2020五周年</x:v>
      </x:c>
      <x:c r="E42" s="22" t="str">
        <x:v>多市场</x:v>
      </x:c>
      <x:c r="F42" s="22" t="str">
        <x:v>品牌×环保组织／材料</x:v>
      </x:c>
      <x:c r="G42" s="22" t="str">
        <x:v>采用Parley Ocean Plastic相关材料的鞋服产品</x:v>
      </x:c>
      <x:c r="H42" s="22" t="str">
        <x:v>adidas在2020年可持续发展披露中记录双方五年合作。</x:v>
      </x:c>
      <x:c r="I42" s="22" t="str">
        <x:v>合作延续有据</x:v>
      </x:c>
      <x:c r="J42" s="22" t="str">
        <x:v>A｜品牌/企业原始披露</x:v>
      </x:c>
      <x:c r="K42" s="22" t="str">
        <x:v>2015—2020</x:v>
      </x:c>
      <x:c r="L42" s="22" t="str">
        <x:v>把材料方案和价值主张嵌入产品，而非只有公益口号。</x:v>
      </x:c>
      <x:c r="M42" s="22" t="str">
        <x:v>使用再生材料不自动等于净环境效益；需核查来源、比例及生命周期边界。</x:v>
      </x:c>
      <x:c r="N42" s="22" t="str">
        <x:v>可审查环境数据、材料成本、消费者溢价意愿</x:v>
      </x:c>
      <x:c r="O42" s="22" t="str">
        <x:v>材料；声明证据；供应链</x:v>
      </x:c>
      <x:c r="P42" s="22" t="str">
        <x:v>https://report.adidas-group.com/2020/en/at-a-glance/2020-stories/our-sustainability-initiatives.html</x:v>
      </x:c>
      <x:c r="Q42" s="22" t="str"/>
      <x:c r="R42" s="22" t="str">
        <x:v>2026-09-05</x:v>
      </x:c>
    </x:row>
    <x:row r="43" ht="116" customHeight="1">
      <x:c r="A43" s="22" t="str">
        <x:v>C38</x:v>
      </x:c>
      <x:c r="B43" s="22" t="str">
        <x:v>adidas</x:v>
      </x:c>
      <x:c r="C43" s="22" t="str">
        <x:v>Yeezy／Ye</x:v>
      </x:c>
      <x:c r="D43" s="22" t="str">
        <x:v>2013合作；2022终止；2024库存售完</x:v>
      </x:c>
      <x:c r="E43" s="22" t="str">
        <x:v>多市场</x:v>
      </x:c>
      <x:c r="F43" s="22" t="str">
        <x:v>品牌×设计师品牌</x:v>
      </x:c>
      <x:c r="G43" s="22" t="str">
        <x:v>Yeezy鞋服系列</x:v>
      </x:c>
      <x:c r="H43" s="22" t="str">
        <x:v>2022年因Ye反犹言论终止；路透2025报道最后库存于2024年第四季度售完。</x:v>
      </x:c>
      <x:c r="I43" s="22" t="str">
        <x:v>风险与混合结果</x:v>
      </x:c>
      <x:c r="J43" s="22" t="str">
        <x:v>A｜品牌/企业原始披露</x:v>
      </x:c>
      <x:c r="K43" s="22" t="str">
        <x:v>2022终止及2024库存结局</x:v>
      </x:c>
      <x:c r="L43" s="22" t="str">
        <x:v>前期热销与后期声誉、库存风险可同时存在；核心人物风险可反向传导。</x:v>
      </x:c>
      <x:c r="M43" s="22" t="str">
        <x:v>不应写成自始至终销售失败，也不应在2026仍称库存尚未清完。</x:v>
      </x:c>
      <x:c r="N43" s="22" t="str">
        <x:v>合作全生命周期净收益、可替代方案与退出成本</x:v>
      </x:c>
      <x:c r="O43" s="22" t="str">
        <x:v>声誉传导；集中度；退出</x:v>
      </x:c>
      <x:c r="P43" s="22" t="str">
        <x:v>https://www.adidas-group.com/en/media/press-releases/adidas-terminates-partnership-with-ye-immediately</x:v>
      </x:c>
      <x:c r="Q43" s="22" t="str">
        <x:v>https://www.reuters.com/business/retail-consumer/adidas-sold-last-pair-yeezy-sneakers-2025-03-05/</x:v>
      </x:c>
      <x:c r="R43" s="22" t="str">
        <x:v>2026-09-05</x:v>
      </x:c>
    </x:row>
    <x:row r="44" ht="116" customHeight="1">
      <x:c r="A44" s="22" t="str">
        <x:v>C39</x:v>
      </x:c>
      <x:c r="B44" s="22" t="str">
        <x:v>adidas</x:v>
      </x:c>
      <x:c r="C44" s="22" t="str">
        <x:v>Ivy Park</x:v>
      </x:c>
      <x:c r="D44" s="22" t="str">
        <x:v>2019合作；2023结束报道</x:v>
      </x:c>
      <x:c r="E44" s="22" t="str">
        <x:v>多市场</x:v>
      </x:c>
      <x:c r="F44" s="22" t="str">
        <x:v>品牌×品牌／明星主理</x:v>
      </x:c>
      <x:c r="G44" s="22" t="str">
        <x:v>Ivy Park运动休闲服饰、鞋履</x:v>
      </x:c>
      <x:c r="H44" s="22" t="str">
        <x:v>WSJ报道2022年销售约4000万美元，对比内部预估2.5亿美元；2023双方分手。</x:v>
      </x:c>
      <x:c r="I44" s="22" t="str">
        <x:v>商业受挫</x:v>
      </x:c>
      <x:c r="J44" s="22" t="str">
        <x:v>B｜可靠媒体/行业机构报道</x:v>
      </x:c>
      <x:c r="K44" s="22" t="str">
        <x:v>2022销售；2023报道</x:v>
      </x:c>
      <x:c r="L44" s="22" t="str">
        <x:v>巨大粉丝量与实际购买意愿并非同一个量；预测要落到款式、价格与购买频率。</x:v>
      </x:c>
      <x:c r="M44" s="22" t="str">
        <x:v>销售和目标为媒体报道口径；具体因果不能只归结于审美或定价。</x:v>
      </x:c>
      <x:c r="N44" s="22" t="str">
        <x:v>完整财务、库存、渠道与消费者拒购原因</x:v>
      </x:c>
      <x:c r="O44" s="22" t="str">
        <x:v>需求验证；预测；定价</x:v>
      </x:c>
      <x:c r="P44" s="22" t="str">
        <x:v>https://www.wsj.com/articles/adidas-and-beyonce-to-part-ways-after-ivy-park-sales-struggles-1467552</x:v>
      </x:c>
      <x:c r="Q44" s="22" t="str">
        <x:v>https://www.reuters.com/business/retail-consumer/adidas-ends-partnership-with-beyonce-wsj-2023-03-28/</x:v>
      </x:c>
      <x:c r="R44" s="22" t="str">
        <x:v>2026-09-05</x:v>
      </x:c>
    </x:row>
    <x:row r="45" ht="116" customHeight="1">
      <x:c r="A45" s="22" t="str">
        <x:v>C40</x:v>
      </x:c>
      <x:c r="B45" s="22" t="str">
        <x:v>Gap</x:v>
      </x:c>
      <x:c r="C45" s="22" t="str">
        <x:v>Yeezy</x:v>
      </x:c>
      <x:c r="D45" s="22" t="str">
        <x:v>2020宣布；2022终止</x:v>
      </x:c>
      <x:c r="E45" s="22" t="str">
        <x:v>美国等</x:v>
      </x:c>
      <x:c r="F45" s="22" t="str">
        <x:v>品牌×设计师品牌</x:v>
      </x:c>
      <x:c r="G45" s="22" t="str">
        <x:v>Yeezy Gap连帽衫、外套；后期部分系列另含Balenciaga</x:v>
      </x:c>
      <x:c r="H45" s="22" t="str">
        <x:v>2022年9月合作破裂；Ye方指称履约问题；10月Gap因言论争议撤下剩余产品。</x:v>
      </x:c>
      <x:c r="I45" s="22" t="str">
        <x:v>风险与混合结果</x:v>
      </x:c>
      <x:c r="J45" s="22" t="str">
        <x:v>B｜可靠媒体/行业机构报道</x:v>
      </x:c>
      <x:c r="K45" s="22" t="str">
        <x:v>2022年9—10月</x:v>
      </x:c>
      <x:c r="L45" s="22" t="str">
        <x:v>分销、专属门店、创意控制等治理争议，可以先于后续声誉危机发生。</x:v>
      </x:c>
      <x:c r="M45" s="22" t="str">
        <x:v>Ye方违约指称并非已被法院证实的事实；不同时间节点要分开。</x:v>
      </x:c>
      <x:c r="N45" s="22" t="str">
        <x:v>合同责任认定、各方实际损失、完整库存处置</x:v>
      </x:c>
      <x:c r="O45" s="22" t="str">
        <x:v>合同履约；审批；争议解决</x:v>
      </x:c>
      <x:c r="P45" s="22" t="str">
        <x:v>https://www.reuters.com/business/retail-consumer/kanye-west-severs-ties-with-apparel-chain-gap-wsj-2022-09-15/</x:v>
      </x:c>
      <x:c r="Q45" s="22" t="str">
        <x:v>https://www.reuters.com/business/retail-consumer/gap-remove-yeezy-gap-products-stores-2022-10-25/</x:v>
      </x:c>
      <x:c r="R45" s="22" t="str">
        <x:v>2026-09-05</x:v>
      </x:c>
    </x:row>
    <x:row r="46" ht="116" customHeight="1">
      <x:c r="A46" s="22" t="str">
        <x:v>C41</x:v>
      </x:c>
      <x:c r="B46" s="22" t="str">
        <x:v>Target</x:v>
      </x:c>
      <x:c r="C46" s="22" t="str">
        <x:v>Neiman Marcus</x:v>
      </x:c>
      <x:c r="D46" s="22" t="str">
        <x:v>2012</x:v>
      </x:c>
      <x:c r="E46" s="22" t="str">
        <x:v>美国</x:v>
      </x:c>
      <x:c r="F46" s="22" t="str">
        <x:v>零售商×零售商／多设计师</x:v>
      </x:c>
      <x:c r="G46" s="22" t="str">
        <x:v>24位设计师参与的约50款节日礼品，包括家居、配饰与服装</x:v>
      </x:c>
      <x:c r="H46" s="22" t="str">
        <x:v>公开报道记录销售低于预期、上市后较快折价清货。</x:v>
      </x:c>
      <x:c r="I46" s="22" t="str">
        <x:v>商业受挫</x:v>
      </x:c>
      <x:c r="J46" s="22" t="str">
        <x:v>B｜可靠媒体/行业机构报道</x:v>
      </x:c>
      <x:c r="K46" s="22" t="str">
        <x:v>2012年末—2013年初</x:v>
      </x:c>
      <x:c r="L46" s="22" t="str">
        <x:v>合作名气没有替代具体价格、选品和购物任务；Target顾客未必想买这类高价礼品。</x:v>
      </x:c>
      <x:c r="M46" s="22" t="str">
        <x:v>价格与品类错配是基于产品和报道的解释，不应编造单一确定原因。</x:v>
      </x:c>
      <x:c r="N46" s="22" t="str">
        <x:v>各SKU售罄、毛利、库存和消费者拒购访谈</x:v>
      </x:c>
      <x:c r="O46" s="22" t="str">
        <x:v>客群；品类；价格；库存</x:v>
      </x:c>
      <x:c r="P46" s="22" t="str">
        <x:v>https://corporate.target.com/press/release/2012/10/target-and-neiman-marcus-reveal-highly-anticipated-holiday-collection</x:v>
      </x:c>
      <x:c r="Q46" s="22" t="str">
        <x:v>https://www.retaildive.com/news/neiman-marcus-collection-at-target-misses-its-mark-with-consumers/85742/</x:v>
      </x:c>
      <x:c r="R46" s="22" t="str">
        <x:v>2026-09-05</x:v>
      </x:c>
    </x:row>
    <x:row r="47" ht="116" customHeight="1">
      <x:c r="A47" s="22" t="str">
        <x:v>C42</x:v>
      </x:c>
      <x:c r="B47" s="22" t="str">
        <x:v>McDonald’s</x:v>
      </x:c>
      <x:c r="C47" s="22" t="str">
        <x:v>Krispy Kreme</x:v>
      </x:c>
      <x:c r="D47" s="22" t="str">
        <x:v>2022试点；2025年7月2日结束</x:v>
      </x:c>
      <x:c r="E47" s="22" t="str">
        <x:v>美国</x:v>
      </x:c>
      <x:c r="F47" s="22" t="str">
        <x:v>品牌×品牌／渠道供给</x:v>
      </x:c>
      <x:c r="G47" s="22" t="str">
        <x:v>在麦当劳门店销售Krispy Kreme甜甜圈</x:v>
      </x:c>
      <x:c r="H47" s="22" t="str">
        <x:v>联合声明：约2400家门店合作；Krispy Kreme未能使成本匹配单店需求，模式难以持续。</x:v>
      </x:c>
      <x:c r="I47" s="22" t="str">
        <x:v>商业受挫</x:v>
      </x:c>
      <x:c r="J47" s="22" t="str">
        <x:v>A｜品牌/企业原始披露</x:v>
      </x:c>
      <x:c r="K47" s="22" t="str">
        <x:v>2025终止公告</x:v>
      </x:c>
      <x:c r="L47" s="22" t="str">
        <x:v>渠道互补不保证每方都赚钱；鲜食配送成本与店均销量必须匹配。</x:v>
      </x:c>
      <x:c r="M47" s="22" t="str">
        <x:v>麦当劳称达到自身及加盟商预期，不等于供应方盈利；必须双方分别建模。</x:v>
      </x:c>
      <x:c r="N47" s="22" t="str">
        <x:v>店均量、配送频次、报损和各方贡献利润</x:v>
      </x:c>
      <x:c r="O47" s="22" t="str">
        <x:v>双边经济账；店级需求；物流</x:v>
      </x:c>
      <x:c r="P47" s="22" t="str">
        <x:v>https://www.businesswire.com/news/home/20250624271564/en/Krispy-Kreme-and-McDonalds-USA-Announce-Joint-Decision-to-End-Partnership</x:v>
      </x:c>
      <x:c r="Q47" s="22" t="str">
        <x:v>https://www.reuters.com/legal/transactional/mcdonalds-krispy-kreme-end-us-donut-sale-partnership-costs-mount-2025-06-24/</x:v>
      </x:c>
      <x:c r="R47" s="22" t="str">
        <x:v>2026-09-05</x:v>
      </x:c>
    </x:row>
    <x:row r="48" ht="116" customHeight="1">
      <x:c r="A48" s="22" t="str">
        <x:v>C43</x:v>
      </x:c>
      <x:c r="B48" s="22" t="str">
        <x:v>Beyond Meat</x:v>
      </x:c>
      <x:c r="C48" s="22" t="str">
        <x:v>PepsiCo</x:v>
      </x:c>
      <x:c r="D48" s="22" t="str">
        <x:v>2021合资；2022肉干；2024停止</x:v>
      </x:c>
      <x:c r="E48" s="22" t="str">
        <x:v>美国</x:v>
      </x:c>
      <x:c r="F48" s="22" t="str">
        <x:v>合资产品／品牌联盟</x:v>
      </x:c>
      <x:c r="G48" s="22" t="str">
        <x:v>PLANeT Partnership旗下Beyond Meat植物肉干</x:v>
      </x:c>
      <x:c r="H48" s="22" t="str">
        <x:v>2024报道公司停止植物肉干产品，作为改善成本及利润率调整的一部分。</x:v>
      </x:c>
      <x:c r="I48" s="22" t="str">
        <x:v>商业受挫</x:v>
      </x:c>
      <x:c r="J48" s="22" t="str">
        <x:v>B｜可靠媒体/行业机构报道</x:v>
      </x:c>
      <x:c r="K48" s="22" t="str">
        <x:v>2022—2024</x:v>
      </x:c>
      <x:c r="L48" s="22" t="str">
        <x:v>趋势与渠道资源不是充分条件；复杂制造和产品单位成本可能压过需求。</x:v>
      </x:c>
      <x:c r="M48" s="22" t="str">
        <x:v>不应将Beyond Meat整体业绩下滑全部归因于该合作。</x:v>
      </x:c>
      <x:c r="N48" s="22" t="str">
        <x:v>产品独立损益、成本构成和消费者复购</x:v>
      </x:c>
      <x:c r="O48" s="22" t="str">
        <x:v>产品经济性；制造；复购</x:v>
      </x:c>
      <x:c r="P48" s="22" t="str">
        <x:v>https://www.reuters.com/business/retail-consumer/beyond-meat-tops-quarterly-revenue-estimates-2024-02-27/</x:v>
      </x:c>
      <x:c r="Q48" s="22" t="str">
        <x:v>https://agfundernews.com/critics-are-poisoning-plant-based-well-says-beyond-meat-ceo-as-firm-ditches-jerky-plans-price-increases-in-us</x:v>
      </x:c>
      <x:c r="R48" s="22" t="str">
        <x:v>2026-09-05</x:v>
      </x:c>
    </x:row>
    <x:row r="49" ht="116" customHeight="1">
      <x:c r="A49" s="22" t="str">
        <x:v>C44</x:v>
      </x:c>
      <x:c r="B49" s="22" t="str">
        <x:v>McDonald’s</x:v>
      </x:c>
      <x:c r="C49" s="22" t="str">
        <x:v>Beyond Meat</x:v>
      </x:c>
      <x:c r="D49" s="22" t="str">
        <x:v>2021—2022美国试点；2024回顾</x:v>
      </x:c>
      <x:c r="E49" s="22" t="str">
        <x:v>美国试点</x:v>
      </x:c>
      <x:c r="F49" s="22" t="str">
        <x:v>品牌×品牌／产品研发</x:v>
      </x:c>
      <x:c r="G49" s="22" t="str">
        <x:v>美国McPlant植物肉汉堡测试</x:v>
      </x:c>
      <x:c r="H49" s="22" t="str">
        <x:v>美国测试结束；2024麦当劳美国负责人称当地消费者需求不足。</x:v>
      </x:c>
      <x:c r="I49" s="22" t="str">
        <x:v>商业受挫</x:v>
      </x:c>
      <x:c r="J49" s="22" t="str">
        <x:v>B｜可靠媒体/行业机构报道</x:v>
      </x:c>
      <x:c r="K49" s="22" t="str">
        <x:v>美国试点及2024回顾</x:v>
      </x:c>
      <x:c r="L49" s="22" t="str">
        <x:v>宏观饮食趋势需要落到特定门店客群、具体口味和购买场景。</x:v>
      </x:c>
      <x:c r="M49" s="22" t="str">
        <x:v>美国测试结论不可外推为全球McPlant都失败；不同市场应分开。</x:v>
      </x:c>
      <x:c r="N49" s="22" t="str">
        <x:v>门店级需求、价格弹性、非购买者反馈</x:v>
      </x:c>
      <x:c r="O49" s="22" t="str">
        <x:v>地域；用户需求；试点设计</x:v>
      </x:c>
      <x:c r="P49" s="22" t="str">
        <x:v>https://www.businessinsider.com/mcdonalds-mcplant-us-trial-failed-not-enough-demand-beyond-meat-2024-6</x:v>
      </x:c>
      <x:c r="Q49" s="22" t="str">
        <x:v>https://www.restaurantdive.com/news/McDonalds-ends-its-plant-based-burger-McPlant-test-in-the-US/628380/</x:v>
      </x:c>
      <x:c r="R49" s="22" t="str">
        <x:v>2026-09-05</x:v>
      </x:c>
    </x:row>
    <x:row r="50" ht="116" customHeight="1">
      <x:c r="A50" s="22" t="str">
        <x:v>C45</x:v>
      </x:c>
      <x:c r="B50" s="22" t="str">
        <x:v>LEGO</x:v>
      </x:c>
      <x:c r="C50" s="22" t="str">
        <x:v>Shell</x:v>
      </x:c>
      <x:c r="D50" s="22" t="str">
        <x:v>2014宣布不再续约</x:v>
      </x:c>
      <x:c r="E50" s="22" t="str">
        <x:v>多市场</x:v>
      </x:c>
      <x:c r="F50" s="22" t="str">
        <x:v>品牌×品牌／渠道与促销</x:v>
      </x:c>
      <x:c r="G50" s="22" t="str">
        <x:v>Shell标识积木、加油站销售或促销套装</x:v>
      </x:c>
      <x:c r="H50" s="22" t="str">
        <x:v>环境组织施压后，LEGO宣布现有合同到期后不再续约。</x:v>
      </x:c>
      <x:c r="I50" s="22" t="str">
        <x:v>风险与混合结果</x:v>
      </x:c>
      <x:c r="J50" s="22" t="str">
        <x:v>B｜可靠媒体/行业机构报道</x:v>
      </x:c>
      <x:c r="K50" s="22" t="str">
        <x:v>2014决策</x:v>
      </x:c>
      <x:c r="L50" s="22" t="str">
        <x:v>合作对象的公共争议可通过品牌关联传给自己；需要价值观与声誉情境测试。</x:v>
      </x:c>
      <x:c r="M50" s="22" t="str">
        <x:v>这是声誉驱动的退出，不是已证明产品滞销；既有合同并非即刻全部取消。</x:v>
      </x:c>
      <x:c r="N50" s="22" t="str">
        <x:v>独立财务损失、长期品牌影响、替代合作价值</x:v>
      </x:c>
      <x:c r="O50" s="22" t="str">
        <x:v>价值观；声誉；合同期限</x:v>
      </x:c>
      <x:c r="P50" s="22" t="str">
        <x:v>https://www.reuters.com/article/business/lego-to-drop-shell-contract-but-criticises-greenpeace-idUSKCN0HY245/</x:v>
      </x:c>
      <x:c r="Q50" s="22" t="str">
        <x:v>https://www.greenpeace.org.au/news/lego-ends-50-year-link-with-shell-after-one-million-people-respond-to-save-the-arctic-campaign/</x:v>
      </x:c>
      <x:c r="R50" s="22" t="str">
        <x:v>2026-09-05</x:v>
      </x:c>
    </x:row>
    <x:row r="51" ht="116" customHeight="1">
      <x:c r="A51" s="22" t="str">
        <x:v>C46</x:v>
      </x:c>
      <x:c r="B51" s="22" t="str">
        <x:v>喜茶</x:v>
      </x:c>
      <x:c r="C51" s="22" t="str">
        <x:v>景德镇中国陶瓷博物馆</x:v>
      </x:c>
      <x:c r="D51" s="22" t="str">
        <x:v>2023年11—12月</x:v>
      </x:c>
      <x:c r="E51" s="22" t="str">
        <x:v>中国</x:v>
      </x:c>
      <x:c r="F51" s="22" t="str">
        <x:v>品牌×博物馆</x:v>
      </x:c>
      <x:c r="G51" s="22" t="str">
        <x:v>“佛喜”饮品、宗教人物相关杯身及周边</x:v>
      </x:c>
      <x:c r="H51" s="22" t="str">
        <x:v>媒体报道当地宗教事务部门约谈；联名随后下架，馆方表示合作结束。</x:v>
      </x:c>
      <x:c r="I51" s="22" t="str">
        <x:v>风险与混合结果</x:v>
      </x:c>
      <x:c r="J51" s="22" t="str">
        <x:v>B｜可靠媒体/行业机构报道</x:v>
      </x:c>
      <x:c r="K51" s="22" t="str">
        <x:v>2023年12月</x:v>
      </x:c>
      <x:c r="L51" s="22" t="str">
        <x:v>馆藏合作与具体商业表达仍需分别审查；文化图像的语境不可忽略。</x:v>
      </x:c>
      <x:c r="M51" s="22" t="str">
        <x:v>不能把媒体报道的约谈写成已认定违法或已受罚。</x:v>
      </x:c>
      <x:c r="N51" s="22" t="str">
        <x:v>完整授权和主管机关书面结论、损失数额</x:v>
      </x:c>
      <x:c r="O51" s="22" t="str">
        <x:v>文化语境；敏感性；审批</x:v>
      </x:c>
      <x:c r="P51" s="22" t="str">
        <x:v>https://m.bjnews.com.cn/detail/1701741875169857.html</x:v>
      </x:c>
      <x:c r="Q51" s="22" t="str">
        <x:v>https://news.cnstock.com/news%2Cbwkx-202312-5159360.htm</x:v>
      </x:c>
      <x:c r="R51" s="22" t="str">
        <x:v>2026-09-05</x:v>
      </x:c>
    </x:row>
    <x:row r="52" ht="116" customHeight="1">
      <x:c r="A52" s="22" t="str">
        <x:v>C47</x:v>
      </x:c>
      <x:c r="B52" s="22" t="str">
        <x:v>乐乐茶</x:v>
      </x:c>
      <x:c r="C52" s="22" t="str">
        <x:v>译林出版社</x:v>
      </x:c>
      <x:c r="D52" s="22" t="str">
        <x:v>2024活动；2026法院认定后的致歉</x:v>
      </x:c>
      <x:c r="E52" s="22" t="str">
        <x:v>中国</x:v>
      </x:c>
      <x:c r="F52" s="22" t="str">
        <x:v>品牌×出版机构／文化人物</x:v>
      </x:c>
      <x:c r="G52" s="22" t="str">
        <x:v>“烟腔乌龙”、鲁迅画像杯袋、立牌与小册子</x:v>
      </x:c>
      <x:c r="H52" s="22" t="str">
        <x:v>2024撤文宣并致歉；2026声明确认法院认定相关画像使用侵害著作权权益。</x:v>
      </x:c>
      <x:c r="I52" s="22" t="str">
        <x:v>风险与混合结果</x:v>
      </x:c>
      <x:c r="J52" s="22" t="str">
        <x:v>B｜可靠媒体/行业机构报道</x:v>
      </x:c>
      <x:c r="K52" s="22" t="str">
        <x:v>2024及2026年3月13日</x:v>
      </x:c>
      <x:c r="L52" s="22" t="str">
        <x:v>出版合作不自动覆盖肖像画作者的著作权；应逐个资产核对授权链。</x:v>
      </x:c>
      <x:c r="M52" s="22" t="str">
        <x:v>2024家属争议与2026图像著作权案件是不同层次，不能混成一种权利。</x:v>
      </x:c>
      <x:c r="N52" s="22" t="str">
        <x:v>所有素材的许可范围及费用、判决完整文本、项目损失</x:v>
      </x:c>
      <x:c r="O52" s="22" t="str">
        <x:v>权利拆分；素材来源；文化尊重</x:v>
      </x:c>
      <x:c r="P52" s="22" t="str">
        <x:v>https://m.gmw.cn/2026-03/13/content_1304375087.htm</x:v>
      </x:c>
      <x:c r="Q52" s="22" t="str">
        <x:v>https://www.jfdaily.com/wx/detail.do?id=744161</x:v>
      </x:c>
      <x:c r="R52" s="22" t="str">
        <x:v>2026-09-05</x:v>
      </x:c>
    </x:row>
    <x:row r="53" ht="116" customHeight="1">
      <x:c r="A53" s="22" t="str">
        <x:v>C48</x:v>
      </x:c>
      <x:c r="B53" s="22" t="str">
        <x:v>Gucci</x:v>
      </x:c>
      <x:c r="C53" s="22" t="str">
        <x:v>adidas</x:v>
      </x:c>
      <x:c r="D53" s="22" t="str">
        <x:v>2022</x:v>
      </x:c>
      <x:c r="E53" s="22" t="str">
        <x:v>中国讨论／多市场产品</x:v>
      </x:c>
      <x:c r="F53" s="22" t="str">
        <x:v>品牌×品牌／奢侈时尚</x:v>
      </x:c>
      <x:c r="G53" s="22" t="str">
        <x:v>联名装饰性伞具及服饰系列</x:v>
      </x:c>
      <x:c r="H53" s="22" t="str">
        <x:v>伞具明示不防水引发讨论；未找到证明整个联名商业失败的数据。</x:v>
      </x:c>
      <x:c r="I53" s="22" t="str">
        <x:v>风险与混合结果</x:v>
      </x:c>
      <x:c r="J53" s="22" t="str">
        <x:v>B｜可靠媒体/行业机构报道</x:v>
      </x:c>
      <x:c r="K53" s="22" t="str">
        <x:v>2022伞具争议</x:v>
      </x:c>
      <x:c r="L53" s="22" t="str">
        <x:v>商品名称引发的功能期待可能与设计定位冲突，要测试消费者如何理解。</x:v>
      </x:c>
      <x:c r="M53" s="22" t="str">
        <x:v>不能把已说明的装饰定位直接称为质量缺陷，也不能把嘲讽当作销量失败。</x:v>
      </x:c>
      <x:c r="N53" s="22" t="str">
        <x:v>实际退货、投诉结构、销量与品牌态度变化</x:v>
      </x:c>
      <x:c r="O53" s="22" t="str">
        <x:v>功能承诺；沟通；价格预期</x:v>
      </x:c>
      <x:c r="P53" s="22" t="str">
        <x:v>https://www.businessinsider.com/adidas-and-gucci-selling-1600-umbrella-that-is-not-waterproof-2022-5</x:v>
      </x:c>
      <x:c r="Q53" s="22" t="str">
        <x:v>https://www.ndtv.com/world-news/a-1-644-gucci-adidas-umbrella-that-does-not-stop-rain-2989361</x:v>
      </x:c>
      <x:c r="R53" s="22" t="str">
        <x:v>2026-09-05</x:v>
      </x:c>
    </x:row>
    <x:row r="54" ht="116" customHeight="1">
      <x:c r="A54" s="22" t="str">
        <x:v>C49</x:v>
      </x:c>
      <x:c r="B54" s="22" t="str">
        <x:v>McDonald’s</x:v>
      </x:c>
      <x:c r="C54" s="22" t="str">
        <x:v>BTS</x:v>
      </x:c>
      <x:c r="D54" s="22" t="str">
        <x:v>2021</x:v>
      </x:c>
      <x:c r="E54" s="22" t="str">
        <x:v>多市场；印尼履约事件</x:v>
      </x:c>
      <x:c r="F54" s="22" t="str">
        <x:v>品牌×音乐IP</x:v>
      </x:c>
      <x:c r="G54" s="22" t="str">
        <x:v>BTS Meal套餐、两款酱料与主题包装</x:v>
      </x:c>
      <x:c r="H54" s="22" t="str">
        <x:v>印尼部分门店因拥挤暂时关闭；合作同时带来明显需求，并非整体销售失败。</x:v>
      </x:c>
      <x:c r="I54" s="22" t="str">
        <x:v>风险与混合结果</x:v>
      </x:c>
      <x:c r="J54" s="22" t="str">
        <x:v>B｜可靠媒体/行业机构报道</x:v>
      </x:c>
      <x:c r="K54" s="22" t="str">
        <x:v>2021年6月</x:v>
      </x:c>
      <x:c r="L54" s="22" t="str">
        <x:v>情感动员可能集中到短时间、少数门店；需限流、预约与取餐分流。</x:v>
      </x:c>
      <x:c r="M54" s="22" t="str">
        <x:v>公司总销售增长还有解封等因素，不能全归因于BTS套餐。</x:v>
      </x:c>
      <x:c r="N54" s="22" t="str">
        <x:v>联名净增量、履约成本、拥堵造成的损失</x:v>
      </x:c>
      <x:c r="O54" s="22" t="str">
        <x:v>粉丝峰值；门店容量；归因</x:v>
      </x:c>
      <x:c r="P54" s="22" t="str">
        <x:v>https://www.reuters.com/business/mcdonalds-shuts-some-indonesia-outlets-over-bts-meal-frenzy-2021-06-11/</x:v>
      </x:c>
      <x:c r="Q54" s="22" t="str">
        <x:v>https://www.reuters.com/business/retail-consumer/mcdonalds-sales-surge-bts-meal-craze-easing-restrictions-2021-07-28/</x:v>
      </x:c>
      <x:c r="R54" s="22" t="str">
        <x:v>2026-09-05</x:v>
      </x:c>
    </x:row>
    <x:row r="55" ht="116" customHeight="1">
      <x:c r="A55" s="22" t="str">
        <x:v>C50</x:v>
      </x:c>
      <x:c r="B55" s="22" t="str">
        <x:v>奈雪的茶</x:v>
      </x:c>
      <x:c r="C55" s="22" t="str">
        <x:v>薄盒「范特西音乐宇宙」</x:v>
      </x:c>
      <x:c r="D55" s="22" t="str">
        <x:v>2023</x:v>
      </x:c>
      <x:c r="E55" s="22" t="str">
        <x:v>中国</x:v>
      </x:c>
      <x:c r="F55" s="22" t="str">
        <x:v>品牌×数字音乐IP项目</x:v>
      </x:c>
      <x:c r="G55" s="22" t="str">
        <x:v>主题茶饮、杯袋及范特西相关数字互动</x:v>
      </x:c>
      <x:c r="H55" s="22" t="str">
        <x:v>公开报道明确合作对象为薄盒旗下项目；传播中出现是否为周杰伦本人合作的理解争议。</x:v>
      </x:c>
      <x:c r="I55" s="22" t="str">
        <x:v>风险与混合结果</x:v>
      </x:c>
      <x:c r="J55" s="22" t="str">
        <x:v>B｜可靠媒体/行业机构报道</x:v>
      </x:c>
      <x:c r="K55" s="22" t="str">
        <x:v>2023年9月</x:v>
      </x:c>
      <x:c r="L55" s="22" t="str">
        <x:v>合法授权对象、宣传名称和消费者理解需要相互一致。</x:v>
      </x:c>
      <x:c r="M55" s="22" t="str">
        <x:v>不能把该合作直接写成周杰伦本人代言，也不能凭争议判定未经授权。</x:v>
      </x:c>
      <x:c r="N55" s="22" t="str">
        <x:v>完整授权范围、实际理解偏差、后续留存与利润</x:v>
      </x:c>
      <x:c r="O55" s="22" t="str">
        <x:v>授权边界；身份暗示；传播</x:v>
      </x:c>
      <x:c r="P55" s="22" t="str">
        <x:v>https://www.stcn.com/article/detail/979671.html</x:v>
      </x:c>
      <x:c r="Q55" s="22" t="str">
        <x:v>https://www.jiemian.com/article/10114918.html</x:v>
      </x:c>
      <x:c r="R55" s="22" t="str">
        <x:v>2026-09-05</x:v>
      </x:c>
    </x:row>
    <x:row r="56" ht="116" customHeight="1">
      <x:c r="A56" s="22" t="str">
        <x:v>C51</x:v>
      </x:c>
      <x:c r="B56" s="22" t="str">
        <x:v>McDonald’s</x:v>
      </x:c>
      <x:c r="C56" s="22" t="str">
        <x:v>Mr Doodle</x:v>
      </x:c>
      <x:c r="D56" s="22" t="str">
        <x:v>2024</x:v>
      </x:c>
      <x:c r="E56" s="22" t="str">
        <x:v>中国</x:v>
      </x:c>
      <x:c r="F56" s="22" t="str">
        <x:v>品牌×艺术家</x:v>
      </x:c>
      <x:c r="G56" s="22" t="str">
        <x:v>儿童节涂鸦主题包装、主题餐厅和快闪体验</x:v>
      </x:c>
      <x:c r="H56" s="22" t="str">
        <x:v>麦当劳中国官方发布艺术家合作；同档期其他玩具活动不应全部算入本联名。</x:v>
      </x:c>
      <x:c r="I56" s="22" t="str">
        <x:v>产品机制参考</x:v>
      </x:c>
      <x:c r="J56" s="22" t="str">
        <x:v>A｜品牌/企业原始披露</x:v>
      </x:c>
      <x:c r="K56" s="22" t="str">
        <x:v>2024儿童节活动</x:v>
      </x:c>
      <x:c r="L56" s="22" t="str">
        <x:v>用统一图形系统覆盖包装、空间与线下体验，形成完整活动识别。</x:v>
      </x:c>
      <x:c r="M56" s="22" t="str">
        <x:v>分清同一营销档期内不同项目的销售贡献，避免张冠李戴。</x:v>
      </x:c>
      <x:c r="N56" s="22" t="str">
        <x:v>艺术合作独立预算、触达、转化与顾客反馈</x:v>
      </x:c>
      <x:c r="O56" s="22" t="str">
        <x:v>视觉系统；空间；归因边界</x:v>
      </x:c>
      <x:c r="P56" s="22" t="str">
        <x:v>https://www.mcdonalds.com.cn/news/20240522-Childrens-Day</x:v>
      </x:c>
      <x:c r="Q56" s="22" t="str"/>
      <x:c r="R56" s="22" t="str">
        <x:v>2026-09-05</x:v>
      </x:c>
    </x:row>
    <x:row r="57" ht="116" customHeight="1">
      <x:c r="A57" s="22" t="str">
        <x:v>C52</x:v>
      </x:c>
      <x:c r="B57" s="22" t="str">
        <x:v>UNIQLO</x:v>
      </x:c>
      <x:c r="C57" s="22" t="str">
        <x:v>卢浮宫博物馆</x:v>
      </x:c>
      <x:c r="D57" s="22" t="str">
        <x:v>2021起</x:v>
      </x:c>
      <x:c r="E57" s="22" t="str">
        <x:v>多市场</x:v>
      </x:c>
      <x:c r="F57" s="22" t="str">
        <x:v>品牌×博物馆</x:v>
      </x:c>
      <x:c r="G57" s="22" t="str">
        <x:v>Louvre Museum Collection UT及文化活动合作</x:v>
      </x:c>
      <x:c r="H57" s="22" t="str">
        <x:v>迅销官方确认2021年春起推出相关UT系列并支持馆内文化活动。</x:v>
      </x:c>
      <x:c r="I57" s="22" t="str">
        <x:v>产品机制参考</x:v>
      </x:c>
      <x:c r="J57" s="22" t="str">
        <x:v>A｜品牌/企业原始披露</x:v>
      </x:c>
      <x:c r="K57" s="22" t="str">
        <x:v>2021起官方项目描述</x:v>
      </x:c>
      <x:c r="L57" s="22" t="str">
        <x:v>把馆藏内容变成日常可穿戴载体，也提供文化公共活动触点。</x:v>
      </x:c>
      <x:c r="M57" s="22" t="str">
        <x:v>艺术图像受欢迎不等于衣服复购；作品授权和形象审核需明确。</x:v>
      </x:c>
      <x:c r="N57" s="22" t="str">
        <x:v>各系列净销量、文化触达质量、授权成本</x:v>
      </x:c>
      <x:c r="O57" s="22" t="str">
        <x:v>馆藏资产；大众化；权利</x:v>
      </x:c>
      <x:c r="P57" s="22" t="str">
        <x:v>https://www.fastretailing.com/eng/sustainability/community/sports_and_culture.html</x:v>
      </x:c>
      <x:c r="Q57" s="22" t="str"/>
      <x:c r="R57" s="22" t="str">
        <x:v>2026-09-05</x:v>
      </x:c>
    </x:row>
    <x:row r="58" ht="116" customHeight="1">
      <x:c r="A58" s="22" t="str">
        <x:v>C53</x:v>
      </x:c>
      <x:c r="B58" s="22" t="str">
        <x:v>Nike</x:v>
      </x:c>
      <x:c r="C58" s="22" t="str">
        <x:v>Tiffany &amp; Co.</x:v>
      </x:c>
      <x:c r="D58" s="22" t="str">
        <x:v>2023</x:v>
      </x:c>
      <x:c r="E58" s="22" t="str">
        <x:v>多市场</x:v>
      </x:c>
      <x:c r="F58" s="22" t="str">
        <x:v>品牌×品牌／奢侈与运动</x:v>
      </x:c>
      <x:c r="G58" s="22" t="str">
        <x:v>Air Force 1 1837、银饰细节及相关纯银配件</x:v>
      </x:c>
      <x:c r="H58" s="22" t="str">
        <x:v>Tiffany与Nike官方可确认产品；独立销量与利润未公开。</x:v>
      </x:c>
      <x:c r="I58" s="22" t="str">
        <x:v>产品机制参考</x:v>
      </x:c>
      <x:c r="J58" s="22" t="str">
        <x:v>A｜品牌/企业原始披露</x:v>
      </x:c>
      <x:c r="K58" s="22" t="str">
        <x:v>2023系列</x:v>
      </x:c>
      <x:c r="L58" s="22" t="str">
        <x:v>把Tiffany蓝与银器工艺融入熟悉鞋型，研究的是资产转译。</x:v>
      </x:c>
      <x:c r="M58" s="22" t="str">
        <x:v>审美争论不能直接判定商业失败；应分核心鞋迷与珠宝客群。</x:v>
      </x:c>
      <x:c r="N58" s="22" t="str">
        <x:v>原价售出量、新客迁移、偏好与利润</x:v>
      </x:c>
      <x:c r="O58" s="22" t="str">
        <x:v>标志资产；材质；圈层</x:v>
      </x:c>
      <x:c r="P58" s="22" t="str">
        <x:v>https://www.tiffany.com/world-of-tiffany/collaborations/tiffany-nike-air-force.html</x:v>
      </x:c>
      <x:c r="Q58" s="22" t="str">
        <x:v>https://www.nike.com/launch/t/air-force-1-tiffany-and-co-black</x:v>
      </x:c>
      <x:c r="R58" s="22" t="str">
        <x:v>2026-09-05</x:v>
      </x:c>
    </x:row>
    <x:row r="59" ht="116" customHeight="1">
      <x:c r="A59" s="22" t="str">
        <x:v>C54</x:v>
      </x:c>
      <x:c r="B59" s="22" t="str">
        <x:v>PUMA</x:v>
      </x:c>
      <x:c r="C59" s="22" t="str">
        <x:v>FENTY</x:v>
      </x:c>
      <x:c r="D59" s="22" t="str">
        <x:v>2015起；2023重启阶段</x:v>
      </x:c>
      <x:c r="E59" s="22" t="str">
        <x:v>多市场</x:v>
      </x:c>
      <x:c r="F59" s="22" t="str">
        <x:v>品牌×明星主理品牌</x:v>
      </x:c>
      <x:c r="G59" s="22" t="str">
        <x:v>Creeper等鞋履；2023重启Avanti产品</x:v>
      </x:c>
      <x:c r="H59" s="22" t="str">
        <x:v>PUMA官方2023发布重新合作及Avanti；不据此断言2026仍持续或长期盈利。</x:v>
      </x:c>
      <x:c r="I59" s="22" t="str">
        <x:v>产品机制参考</x:v>
      </x:c>
      <x:c r="J59" s="22" t="str">
        <x:v>A｜品牌/企业原始披露</x:v>
      </x:c>
      <x:c r="K59" s="22" t="str">
        <x:v>2023重启已确认阶段</x:v>
      </x:c>
      <x:c r="L59" s="22" t="str">
        <x:v>主理人参与产品设计，可以形成独立产品语言，而不只是代言曝光。</x:v>
      </x:c>
      <x:c r="M59" s="22" t="str">
        <x:v>第一次热度不能保证重启成功；须重新验证客群与市场环境。</x:v>
      </x:c>
      <x:c r="N59" s="22" t="str">
        <x:v>重启实际销量、全周期财务、2026关系状态的官方确认</x:v>
      </x:c>
      <x:c r="O59" s="22" t="str">
        <x:v>创意贡献；生命周期；重启验证</x:v>
      </x:c>
      <x:c r="P59" s="22" t="str">
        <x:v>https://about.puma.com/en/newsroom/news/fenty-x-puma-officially-back-rihanna-launches-avanti</x:v>
      </x:c>
      <x:c r="Q59" s="22" t="str">
        <x:v>https://uk.puma.com/uk/en/collections/select-collaborations/fenty-x-puma</x:v>
      </x:c>
      <x:c r="R59" s="22" t="str">
        <x:v>2026-09-05</x:v>
      </x:c>
    </x:row>
    <x:row r="60" ht="116" customHeight="1">
      <x:c r="A60" s="22" t="str">
        <x:v>C55</x:v>
      </x:c>
      <x:c r="B60" s="22" t="str">
        <x:v>Supreme</x:v>
      </x:c>
      <x:c r="C60" s="22" t="str">
        <x:v>OREO</x:v>
      </x:c>
      <x:c r="D60" s="22" t="str">
        <x:v>2020</x:v>
      </x:c>
      <x:c r="E60" s="22" t="str">
        <x:v>部分市场</x:v>
      </x:c>
      <x:c r="F60" s="22" t="str">
        <x:v>品牌×品牌／包装与食品</x:v>
      </x:c>
      <x:c r="G60" s="22" t="str">
        <x:v>红色、印Supreme标识的OREO三枚装</x:v>
      </x:c>
      <x:c r="H60" s="22" t="str">
        <x:v>Supreme官方春夏2020档案可确认产品；不采用二手高价挂牌作为销量证据。</x:v>
      </x:c>
      <x:c r="I60" s="22" t="str">
        <x:v>产品机制参考</x:v>
      </x:c>
      <x:c r="J60" s="22" t="str">
        <x:v>A｜品牌/企业原始披露</x:v>
      </x:c>
      <x:c r="K60" s="22" t="str">
        <x:v>2020产品档案</x:v>
      </x:c>
      <x:c r="L60" s="22" t="str">
        <x:v>以低客单食品承载街头品牌收藏符号，扩大可参与人群。</x:v>
      </x:c>
      <x:c r="M60" s="22" t="str">
        <x:v>可拍照不等于可复购；二手挂牌价不等于真实成交价。</x:v>
      </x:c>
      <x:c r="N60" s="22" t="str">
        <x:v>初次零售数量、实际成交、增量消费者、项目利润</x:v>
      </x:c>
      <x:c r="O60" s="22" t="str">
        <x:v>价格入口；符号消费；数据口径</x:v>
      </x:c>
      <x:c r="P60" s="22" t="str">
        <x:v>https://supreme.com/previews/springsummer2020/accessories/supreme-oreo-cookies-pack-of-3</x:v>
      </x:c>
      <x:c r="Q60" s="22" t="str">
        <x:v>https://www.foodandwine.com/news/supreme-oreo-collaboration</x:v>
      </x:c>
      <x:c r="R60" s="22" t="str">
        <x:v>2026-09-05</x:v>
      </x:c>
    </x:row>
    <x:row r="61" ht="116" customHeight="1">
      <x:c r="A61" s="22" t="str">
        <x:v>C56</x:v>
      </x:c>
      <x:c r="B61" s="22" t="str">
        <x:v>H&amp;M</x:v>
      </x:c>
      <x:c r="C61" s="22" t="str">
        <x:v>Mugler</x:v>
      </x:c>
      <x:c r="D61" s="22" t="str">
        <x:v>2023</x:v>
      </x:c>
      <x:c r="E61" s="22" t="str">
        <x:v>多市场</x:v>
      </x:c>
      <x:c r="F61" s="22" t="str">
        <x:v>品牌×品牌／设计师系列</x:v>
      </x:c>
      <x:c r="G61" s="22" t="str">
        <x:v>Mugler H&amp;M成衣与配饰胶囊系列</x:v>
      </x:c>
      <x:c r="H61" s="22" t="str">
        <x:v>H&amp;M官方2024回顾确认2023年Mugler合作；本库不推断独立盈利。</x:v>
      </x:c>
      <x:c r="I61" s="22" t="str">
        <x:v>产品机制参考</x:v>
      </x:c>
      <x:c r="J61" s="22" t="str">
        <x:v>A｜品牌/企业原始披露</x:v>
      </x:c>
      <x:c r="K61" s="22" t="str">
        <x:v>2023系列；2024回顾</x:v>
      </x:c>
      <x:c r="L61" s="22" t="str">
        <x:v>高识别设计语言可跨价格带转译，但需要验证实穿、尺码和品质。</x:v>
      </x:c>
      <x:c r="M61" s="22" t="str">
        <x:v>前代H&amp;M联名成功不能作为本期的销售证据。</x:v>
      </x:c>
      <x:c r="N61" s="22" t="str">
        <x:v>本期售出率、退货率、设计与制造成本</x:v>
      </x:c>
      <x:c r="O61" s="22" t="str">
        <x:v>设计转译；尺码；品质</x:v>
      </x:c>
      <x:c r="P61" s="22" t="str">
        <x:v>https://hmgroup.com/news/hm-celebrates-20-years-of-designer-collaborations-with-limited-pre-loved-pieces/</x:v>
      </x:c>
      <x:c r="Q61" s="22" t="str">
        <x:v>https://www.hm.com/az/mugler-hm-announcement/</x:v>
      </x:c>
      <x:c r="R61" s="22" t="str">
        <x:v>2026-09-05</x:v>
      </x:c>
    </x:row>
    <x:row r="62" ht="116" customHeight="1">
      <x:c r="A62" s="22" t="str">
        <x:v>C57</x:v>
      </x:c>
      <x:c r="B62" s="22" t="str">
        <x:v>Target</x:v>
      </x:c>
      <x:c r="C62" s="22" t="str">
        <x:v>Missoni</x:v>
      </x:c>
      <x:c r="D62" s="22" t="str">
        <x:v>2011</x:v>
      </x:c>
      <x:c r="E62" s="22" t="str">
        <x:v>美国</x:v>
      </x:c>
      <x:c r="F62" s="22" t="str">
        <x:v>品牌×品牌／大众设计系列</x:v>
      </x:c>
      <x:c r="G62" s="22" t="str">
        <x:v>Missoni图案服装、家居、配件等约400款</x:v>
      </x:c>
      <x:c r="H62" s="22" t="str">
        <x:v>AP报道首发网站崩溃，之后部分订单延误或被取消；商品需求强。</x:v>
      </x:c>
      <x:c r="I62" s="22" t="str">
        <x:v>风险与混合结果</x:v>
      </x:c>
      <x:c r="J62" s="22" t="str">
        <x:v>B｜可靠媒体/行业机构报道</x:v>
      </x:c>
      <x:c r="K62" s="22" t="str">
        <x:v>2011年9月</x:v>
      </x:c>
      <x:c r="L62" s="22" t="str">
        <x:v>强需求与差履约可同时发生；广告、库存与订单系统要一起准备。</x:v>
      </x:c>
      <x:c r="M62" s="22" t="str">
        <x:v>不是销售失败；也不能用售罄掩盖真实消费者未收到商品。</x:v>
      </x:c>
      <x:c r="N62" s="22" t="str">
        <x:v>支付成功到交付率、补偿成本、客户流失</x:v>
      </x:c>
      <x:c r="O62" s="22" t="str">
        <x:v>峰值压力；库存一致性；交付</x:v>
      </x:c>
      <x:c r="P62" s="22" t="str">
        <x:v>https://www.mprnews.org/story/2011/09/22/target-missoni-problems</x:v>
      </x:c>
      <x:c r="Q62" s="22" t="str">
        <x:v>https://tcbmag.com/some-target-com-missoni-orders-cancelled-delayed/</x:v>
      </x:c>
      <x:c r="R62" s="22" t="str">
        <x:v>2026-09-05</x:v>
      </x:c>
    </x:row>
    <x:row r="63" ht="116" customHeight="1">
      <x:c r="A63" s="22" t="str">
        <x:v>C58</x:v>
      </x:c>
      <x:c r="B63" s="22" t="str">
        <x:v>KFC</x:v>
      </x:c>
      <x:c r="C63" s="22" t="str">
        <x:v>《原神》</x:v>
      </x:c>
      <x:c r="D63" s="22" t="str">
        <x:v>2021</x:v>
      </x:c>
      <x:c r="E63" s="22" t="str">
        <x:v>中国；上海与杭州事件</x:v>
      </x:c>
      <x:c r="F63" s="22" t="str">
        <x:v>品牌×游戏IP</x:v>
      </x:c>
      <x:c r="G63" s="22" t="str">
        <x:v>主题套餐、角色徽章与游戏相关权益</x:v>
      </x:c>
      <x:c r="H63" s="22" t="str">
        <x:v>上海、杭州部分线下活动因人群聚集等原因取消；并非全国合作全部失败。</x:v>
      </x:c>
      <x:c r="I63" s="22" t="str">
        <x:v>风险与混合结果</x:v>
      </x:c>
      <x:c r="J63" s="22" t="str">
        <x:v>B｜可靠媒体/行业机构报道</x:v>
      </x:c>
      <x:c r="K63" s="22" t="str">
        <x:v>2021年3月活动</x:v>
      </x:c>
      <x:c r="L63" s="22" t="str">
        <x:v>收藏赠品会使需求集中到门店与时点，赠品供应就是核心履约的一部分。</x:v>
      </x:c>
      <x:c r="M63" s="22" t="str">
        <x:v>当时防疫条件特殊，不能直接拿聚集事件推断现在应执行的法规。</x:v>
      </x:c>
      <x:c r="N63" s="22" t="str">
        <x:v>各店库存、活动申报与取消损失、预约可替代性</x:v>
      </x:c>
      <x:c r="O63" s="22" t="str">
        <x:v>赠品库存；峰值；线下安全</x:v>
      </x:c>
      <x:c r="P63" s="22" t="str">
        <x:v>https://www.playstationlifestyle.net/2021/03/15/genshin-impact-kfc-collaboration-cancelled/</x:v>
      </x:c>
      <x:c r="Q63" s="22" t="str">
        <x:v>https://www.globaltimes.cn/page/202103/1218334.shtml</x:v>
      </x:c>
      <x:c r="R63" s="22" t="str">
        <x:v>2026-09-05</x:v>
      </x:c>
    </x:row>
    <x:row r="64" ht="116" customHeight="1">
      <x:c r="A64" s="22" t="str">
        <x:v>C59</x:v>
      </x:c>
      <x:c r="B64" s="22" t="str">
        <x:v>HTC／AT&amp;T</x:v>
      </x:c>
      <x:c r="C64" s="22" t="str">
        <x:v>Facebook</x:v>
      </x:c>
      <x:c r="D64" s="22" t="str">
        <x:v>2013</x:v>
      </x:c>
      <x:c r="E64" s="22" t="str">
        <x:v>美国；欧洲计划</x:v>
      </x:c>
      <x:c r="F64" s="22" t="str">
        <x:v>技术与渠道联合产品</x:v>
      </x:c>
      <x:c r="G64" s="22" t="str">
        <x:v>预装Facebook Home的HTC First手机</x:v>
      </x:c>
      <x:c r="H64" s="22" t="str">
        <x:v>美国合约价上市不足一月由约99美元降至0.99美元；英国上市随后未按计划推进。</x:v>
      </x:c>
      <x:c r="I64" s="22" t="str">
        <x:v>风险与混合结果</x:v>
      </x:c>
      <x:c r="J64" s="22" t="str">
        <x:v>B｜可靠媒体/行业机构报道</x:v>
      </x:c>
      <x:c r="K64" s="22" t="str">
        <x:v>2013年4—5月</x:v>
      </x:c>
      <x:c r="L64" s="22" t="str">
        <x:v>喜欢一个应用不等于愿意让它成为整部手机的主界面；合作不能代替需求验证。</x:v>
      </x:c>
      <x:c r="M64" s="22" t="str">
        <x:v>合约机价格不等于裸机价格；不能仅凭降价确定亏损额。</x:v>
      </x:c>
      <x:c r="N64" s="22" t="str">
        <x:v>独立损益、激活与留存、拒购和退货原因</x:v>
      </x:c>
      <x:c r="O64" s="22" t="str">
        <x:v>用户任务；体验控制；试点</x:v>
      </x:c>
      <x:c r="P64" s="22" t="str">
        <x:v>https://allthingsd.com/20130508/htc-first-that-facebook-phone-drops-from-99-bucks-to-99-cents-at-att/</x:v>
      </x:c>
      <x:c r="Q64" s="22" t="str">
        <x:v>https://www.latimes.com/business/technology/la-fi-tn-facebook-delays-htc-first-facebook-phone-20130524-story.html</x:v>
      </x:c>
      <x:c r="R64" s="22" t="str">
        <x:v>2026-09-05</x:v>
      </x:c>
    </x:row>
    <x:row r="65" ht="116" customHeight="1">
      <x:c r="A65" s="22" t="str">
        <x:v>C60</x:v>
      </x:c>
      <x:c r="B65" s="22" t="str">
        <x:v>Apple</x:v>
      </x:c>
      <x:c r="C65" s="22" t="str">
        <x:v>U2</x:v>
      </x:c>
      <x:c r="D65" s="22" t="str">
        <x:v>2014</x:v>
      </x:c>
      <x:c r="E65" s="22" t="str">
        <x:v>多市场</x:v>
      </x:c>
      <x:c r="F65" s="22" t="str">
        <x:v>品牌×音乐IP／数字分发</x:v>
      </x:c>
      <x:c r="G65" s="22" t="str">
        <x:v>iTunes赠送《Songs of Innocence》专辑</x:v>
      </x:c>
      <x:c r="H65" s="22" t="str">
        <x:v>专辑自动加入用户曲库引发反感；Apple随后提供移除工具。</x:v>
      </x:c>
      <x:c r="I65" s="22" t="str">
        <x:v>风险与混合结果</x:v>
      </x:c>
      <x:c r="J65" s="22" t="str">
        <x:v>B｜可靠媒体/行业机构报道</x:v>
      </x:c>
      <x:c r="K65" s="22" t="str">
        <x:v>2014年9—10月</x:v>
      </x:c>
      <x:c r="L65" s="22" t="str">
        <x:v>免费权益也需尊重选择；平台可触达用户，不代表用户都需要合作内容。</x:v>
      </x:c>
      <x:c r="M65" s="22" t="str">
        <x:v>应区分自动加入曲库与所有设备一律自动下载；不能推断专辑质量失败。</x:v>
      </x:c>
      <x:c r="N65" s="22" t="str">
        <x:v>接受率、移除率、品牌态度和长期订阅影响</x:v>
      </x:c>
      <x:c r="O65" s="22" t="str">
        <x:v>用户同意；体验边界；客群</x:v>
      </x:c>
      <x:c r="P65" s="22" t="str">
        <x:v>https://pitchfork.com/news/56713-apple-launches-site-to-help-you-remove-the-u2-album-from-your-itunes</x:v>
      </x:c>
      <x:c r="Q65" s="22" t="str">
        <x:v>https://time.com/3508636/bono-apologizes-sorry-itunes-apple-u2-songs-of-innocence/</x:v>
      </x:c>
      <x:c r="R65" s="22" t="str">
        <x:v>2026-09-05</x:v>
      </x:c>
    </x:row>
  </x:sheetData>
  <x:mergeCells>
    <x:mergeCell ref="A1:R1"/>
    <x:mergeCell ref="A2:R3"/>
  </x:mergeCells>
  <x:conditionalFormatting sqref="I6:I65">
    <x:cfRule type="expression" dxfId="0" priority="1">
      <x:formula>I6="销售表现有据"</x:formula>
    </x:cfRule>
    <x:cfRule type="expression" dxfId="1" priority="2">
      <x:formula>I6="合作延续有据"</x:formula>
    </x:cfRule>
    <x:cfRule type="expression" dxfId="2" priority="3">
      <x:formula>I6="产品机制参考"</x:formula>
    </x:cfRule>
    <x:cfRule type="expression" dxfId="3" priority="4">
      <x:formula>I6="商业受挫"</x:formula>
    </x:cfRule>
    <x:cfRule type="expression" dxfId="4" priority="5">
      <x:formula>I6="风险与混合结果"</x:formula>
    </x:cfRule>
  </x:conditionalFormatting>
  <x:dataValidations count="1">
    <x:dataValidation type="list" sqref="I6:I65">
      <x:formula1>"销售表现有据,合作延续有据,产品机制参考,商业受挫,风险与混合结果"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0e99a8b026b413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2" hidden="0" customWidth="1"/>
    <x:col min="3" max="3" width="42" hidden="0" customWidth="1"/>
    <x:col min="4" max="4" width="20" hidden="0" customWidth="1"/>
    <x:col min="5" max="5" width="48" hidden="0" customWidth="1"/>
    <x:col min="6" max="6" width="48" hidden="0" customWidth="1"/>
  </x:cols>
  <x:sheetData>
    <x:row r="1" ht="34" customHeight="1">
      <x:c r="A1" s="3" t="str">
        <x:v>案例速览｜从最终产物看联名</x:v>
      </x:c>
      <x:c r="B1" s="3"/>
      <x:c r="C1" s="3"/>
      <x:c r="D1" s="3"/>
      <x:c r="E1" s="3"/>
      <x:c r="F1" s="3"/>
    </x:row>
    <x:row r="2" ht="22" customHeight="1">
      <x:c r="A2" s="8" t="str">
        <x:v>先看最终产物与公开结果；详细来源、限制、失败解释和后续待补证内容见「60个案例」。编号可以跨表检索。</x:v>
      </x:c>
      <x:c r="B2" s="8"/>
      <x:c r="C2" s="8"/>
      <x:c r="D2" s="8"/>
      <x:c r="E2" s="8"/>
      <x:c r="F2" s="8"/>
    </x:row>
    <x:row r="3" ht="22" customHeight="1">
      <x:c r="A3" s="8"/>
      <x:c r="B3" s="8"/>
      <x:c r="C3" s="8"/>
      <x:c r="D3" s="8"/>
      <x:c r="E3" s="8"/>
      <x:c r="F3" s="8"/>
    </x:row>
    <x:row r="5" ht="30" customHeight="1">
      <x:c r="A5" s="15" t="str">
        <x:v>编号</x:v>
      </x:c>
      <x:c r="B5" s="15" t="str">
        <x:v>合作双方</x:v>
      </x:c>
      <x:c r="C5" s="15" t="str">
        <x:v>最终产物</x:v>
      </x:c>
      <x:c r="D5" s="15" t="str">
        <x:v>结果分类</x:v>
      </x:c>
      <x:c r="E5" s="15" t="str">
        <x:v>公开结果｜有据事实</x:v>
      </x:c>
      <x:c r="F5" s="15" t="str">
        <x:v>机制与原因｜研究者分析</x:v>
      </x:c>
    </x:row>
    <x:row r="6" ht="86" customHeight="1">
      <x:c r="A6" s="22" t="str">
        <x:v>C01</x:v>
      </x:c>
      <x:c r="B6" s="22" t="str">
        <x:v>瑞幸 × 贵州茅台</x:v>
      </x:c>
      <x:c r="C6" s="22" t="str">
        <x:v>酱香拿铁、联名杯袋与主题店</x:v>
      </x:c>
      <x:c r="D6" s="22" t="str">
        <x:v>销售表现有据</x:v>
      </x:c>
      <x:c r="E6" s="22" t="str">
        <x:v>瑞幸披露首日542万杯、销售额超1亿元；截至2023年底4583万杯、超9亿元。</x:v>
      </x:c>
      <x:c r="F6" s="22" t="str">
        <x:v>昂贵品牌符号转成低门槛、可体验的日常商品；原料参与，不止包装贴标。</x:v>
      </x:c>
    </x:row>
    <x:row r="7" ht="86" customHeight="1">
      <x:c r="A7" s="22" t="str">
        <x:v>C02</x:v>
      </x:c>
      <x:c r="B7" s="22" t="str">
        <x:v>瑞幸 × 椰树</x:v>
      </x:c>
      <x:c r="C7" s="22" t="str">
        <x:v>椰云拿铁、椰树式高识别度包装</x:v>
      </x:c>
      <x:c r="D7" s="22" t="str">
        <x:v>销售表现有据</x:v>
      </x:c>
      <x:c r="E7" s="22" t="str">
        <x:v>首周销量超过495万杯；瑞幸财报披露同名新品首周数据。</x:v>
      </x:c>
      <x:c r="F7" s="22" t="str">
        <x:v>椰汁进入咖啡产品，既有口味搭配又有视觉辨识度。</x:v>
      </x:c>
    </x:row>
    <x:row r="8" ht="86" customHeight="1">
      <x:c r="A8" s="22" t="str">
        <x:v>C03</x:v>
      </x:c>
      <x:c r="B8" s="22" t="str">
        <x:v>喜茶 × FENDI</x:v>
      </x:c>
      <x:c r="C8" s="22" t="str">
        <x:v>FENDI喜悦黄饮品、杯袋周边、展览茶室及烘焙</x:v>
      </x:c>
      <x:c r="D8" s="22" t="str">
        <x:v>产品机制参考</x:v>
      </x:c>
      <x:c r="E8" s="22" t="str">
        <x:v>公开报道记录排队与部分售罄；联名单独利润未披露。</x:v>
      </x:c>
      <x:c r="F8" s="22" t="str">
        <x:v>低门槛饮品把奢侈品牌视觉转为可携带、可拍照的体验入口。</x:v>
      </x:c>
    </x:row>
    <x:row r="9" ht="86" customHeight="1">
      <x:c r="A9" s="22" t="str">
        <x:v>C04</x:v>
      </x:c>
      <x:c r="B9" s="22" t="str">
        <x:v>喜茶 × 《梦华录》</x:v>
      </x:c>
      <x:c r="C9" s="22" t="str">
        <x:v>剧集主题饮品与杯身视觉</x:v>
      </x:c>
      <x:c r="D9" s="22" t="str">
        <x:v>销售表现有据</x:v>
      </x:c>
      <x:c r="E9" s="22" t="str">
        <x:v>报道援引喜茶小程序：首日近30万杯、7日超过140万杯。</x:v>
      </x:c>
      <x:c r="F9" s="22" t="str">
        <x:v>把观看剧集的情绪和茶饮消费场景接起来，降低理解成本。</x:v>
      </x:c>
    </x:row>
    <x:row r="10" ht="86" customHeight="1">
      <x:c r="A10" s="22" t="str">
        <x:v>C05</x:v>
      </x:c>
      <x:c r="B10" s="22" t="str">
        <x:v>喜茶 × 《甄嬛传》</x:v>
      </x:c>
      <x:c r="C10" s="22" t="str">
        <x:v>剧集人物主题饮品、包装和周边</x:v>
      </x:c>
      <x:c r="D10" s="22" t="str">
        <x:v>销售表现有据</x:v>
      </x:c>
      <x:c r="E10" s="22" t="str">
        <x:v>报道援引喜茶小程序：推出3日售出超过50万杯。</x:v>
      </x:c>
      <x:c r="F10" s="22" t="str">
        <x:v>可反复引用的人物关系与台词，为消费者提供社交表达素材。</x:v>
      </x:c>
    </x:row>
    <x:row r="11" ht="86" customHeight="1">
      <x:c r="A11" s="22" t="str">
        <x:v>C06</x:v>
      </x:c>
      <x:c r="B11" s="22" t="str">
        <x:v>喜茶 × 《原神》</x:v>
      </x:c>
      <x:c r="C11" s="22" t="str">
        <x:v>角色主题茶饮、联名包装及赠品</x:v>
      </x:c>
      <x:c r="D11" s="22" t="str">
        <x:v>销售表现有据</x:v>
      </x:c>
      <x:c r="E11" s="22" t="str">
        <x:v>报道援引喜茶小程序：联名推出一周销量超过100万杯。</x:v>
      </x:c>
      <x:c r="F11" s="22" t="str">
        <x:v>用角色关系与可收藏物，把线上喜爱转成线下消费。</x:v>
      </x:c>
    </x:row>
    <x:row r="12" ht="86" customHeight="1">
      <x:c r="A12" s="22" t="str">
        <x:v>C07</x:v>
      </x:c>
      <x:c r="B12" s="22" t="str">
        <x:v>茉莉奶白 × 《恋与深空》</x:v>
      </x:c>
      <x:c r="C12" s="22" t="str">
        <x:v>角色对应饮品、主题杯袋及收藏周边</x:v>
      </x:c>
      <x:c r="D12" s="22" t="str">
        <x:v>产品机制参考</x:v>
      </x:c>
      <x:c r="E12" s="22" t="str">
        <x:v>2026年6月报道记录排队与周边抢购；长期效果尚无充分公开证据。</x:v>
      </x:c>
      <x:c r="F12" s="22" t="str">
        <x:v>细分角色偏好使同一IP内部也存在不同需求，适合角色级备货研究。</x:v>
      </x:c>
    </x:row>
    <x:row r="13" ht="86" customHeight="1">
      <x:c r="A13" s="22" t="str">
        <x:v>C08</x:v>
      </x:c>
      <x:c r="B13" s="22" t="str">
        <x:v>UNIQLO × KAWS</x:v>
      </x:c>
      <x:c r="C13" s="22" t="str">
        <x:v>UT服装、艺术图像商品与相关出版物</x:v>
      </x:c>
      <x:c r="D13" s="22" t="str">
        <x:v>合作延续有据</x:v>
      </x:c>
      <x:c r="E13" s="22" t="str">
        <x:v>UNIQLO 2024回顾称已合作9个系列；2025宣布KAWS任驻留艺术家。</x:v>
      </x:c>
      <x:c r="F13" s="22" t="str">
        <x:v>稳定服装载体与可更新艺术资产，形成连续系列而非一次事件。</x:v>
      </x:c>
    </x:row>
    <x:row r="14" ht="86" customHeight="1">
      <x:c r="A14" s="22" t="str">
        <x:v>C09</x:v>
      </x:c>
      <x:c r="B14" s="22" t="str">
        <x:v>H&amp;M × Karl Lagerfeld</x:v>
      </x:c>
      <x:c r="C14" s="22" t="str">
        <x:v>Karl Lagerfeld for H&amp;M限量成衣系列</x:v>
      </x:c>
      <x:c r="D14" s="22" t="str">
        <x:v>销售表现有据</x:v>
      </x:c>
      <x:c r="E14" s="22" t="str">
        <x:v>当年系列快速售出；H&amp;M在2024年回顾其为设计师联名起点。</x:v>
      </x:c>
      <x:c r="F14" s="22" t="str">
        <x:v>把稀缺设计师语言放进大众价格与零售渠道。</x:v>
      </x:c>
    </x:row>
    <x:row r="15" ht="86" customHeight="1">
      <x:c r="A15" s="22" t="str">
        <x:v>C10</x:v>
      </x:c>
      <x:c r="B15" s="22" t="str">
        <x:v>H&amp;M × Balmain</x:v>
      </x:c>
      <x:c r="C15" s="22" t="str">
        <x:v>Balmain风格服装和配饰系列</x:v>
      </x:c>
      <x:c r="D15" s="22" t="str">
        <x:v>销售表现有据</x:v>
      </x:c>
      <x:c r="E15" s="22" t="str">
        <x:v>媒体记录上线迅速售罄，同时出现网站拥堵和抢购。</x:v>
      </x:c>
      <x:c r="F15" s="22" t="str">
        <x:v>保留合作品牌高辨识度款式，让受众能看懂自己买到了什么。</x:v>
      </x:c>
    </x:row>
    <x:row r="16" ht="86" customHeight="1">
      <x:c r="A16" s="22" t="str">
        <x:v>C11</x:v>
      </x:c>
      <x:c r="B16" s="22" t="str">
        <x:v>Louis Vuitton × Supreme</x:v>
      </x:c>
      <x:c r="C16" s="22" t="str">
        <x:v>箱包、服装、鞋履和配饰胶囊系列</x:v>
      </x:c>
      <x:c r="D16" s="22" t="str">
        <x:v>产品机制参考</x:v>
      </x:c>
      <x:c r="E16" s="22" t="str">
        <x:v>LVMH将其列为2017年关键事件；媒体记录快闪发售热度。</x:v>
      </x:c>
      <x:c r="F16" s="22" t="str">
        <x:v>奢侈工艺载体与街头标识结合，完成文化身份而非只交换流量。</x:v>
      </x:c>
    </x:row>
    <x:row r="17" ht="86" customHeight="1">
      <x:c r="A17" s="22" t="str">
        <x:v>C12</x:v>
      </x:c>
      <x:c r="B17" s="22" t="str">
        <x:v>Dior × Jordan Brand</x:v>
      </x:c>
      <x:c r="C17" s="22" t="str">
        <x:v>Air Dior AJ1高低帮鞋、成衣和配饰</x:v>
      </x:c>
      <x:c r="D17" s="22" t="str">
        <x:v>产品机制参考</x:v>
      </x:c>
      <x:c r="E17" s="22" t="str">
        <x:v>官方及发布报道可确认实物系列；本库不采用未经核准的抽签报名数字。</x:v>
      </x:c>
      <x:c r="F17" s="22" t="str">
        <x:v>以熟悉鞋型承载高级材质与图案语言，创造可收藏的交集。</x:v>
      </x:c>
    </x:row>
    <x:row r="18" ht="86" customHeight="1">
      <x:c r="A18" s="22" t="str">
        <x:v>C13</x:v>
      </x:c>
      <x:c r="B18" s="22" t="str">
        <x:v>Swatch × OMEGA</x:v>
      </x:c>
      <x:c r="C18" s="22" t="str">
        <x:v>Bioceramic MoonSwatch腕表</x:v>
      </x:c>
      <x:c r="D18" s="22" t="str">
        <x:v>销售表现有据</x:v>
      </x:c>
      <x:c r="E18" s="22" t="str">
        <x:v>2022年度业绩相关披露记录销量超过100万只。</x:v>
      </x:c>
      <x:c r="F18" s="22" t="str">
        <x:v>将高端标志设计转为不同材质与价位的新产品，保留识别性。</x:v>
      </x:c>
    </x:row>
    <x:row r="19" ht="86" customHeight="1">
      <x:c r="A19" s="22" t="str">
        <x:v>C14</x:v>
      </x:c>
      <x:c r="B19" s="22" t="str">
        <x:v>Swatch × Blancpain</x:v>
      </x:c>
      <x:c r="C19" s="22" t="str">
        <x:v>Bioceramic Scuba Fifty Fathoms机械腕表</x:v>
      </x:c>
      <x:c r="D19" s="22" t="str">
        <x:v>产品机制参考</x:v>
      </x:c>
      <x:c r="E19" s="22" t="str">
        <x:v>官方确认推出系列产品；未找到可直接采用的单独销售与利润数据。</x:v>
      </x:c>
      <x:c r="F19" s="22" t="str">
        <x:v>以经典潜水表设计和机械结构，向较低门槛产品转译。</x:v>
      </x:c>
    </x:row>
    <x:row r="20" ht="86" customHeight="1">
      <x:c r="A20" s="22" t="str">
        <x:v>C15</x:v>
      </x:c>
      <x:c r="B20" s="22" t="str">
        <x:v>LEGO × Star Wars</x:v>
      </x:c>
      <x:c r="C20" s="22" t="str">
        <x:v>积木套装及延伸游戏、出版和收藏生态</x:v>
      </x:c>
      <x:c r="D20" s="22" t="str">
        <x:v>合作延续有据</x:v>
      </x:c>
      <x:c r="E20" s="22" t="str">
        <x:v>双方2024年官方发布合作25周年纪念内容。</x:v>
      </x:c>
      <x:c r="F20" s="22" t="str">
        <x:v>故事世界能持续更新，积木系统可持续重组，适合长期产品体系。</x:v>
      </x:c>
    </x:row>
    <x:row r="21" ht="86" customHeight="1">
      <x:c r="A21" s="22" t="str">
        <x:v>C16</x:v>
      </x:c>
      <x:c r="B21" s="22" t="str">
        <x:v>IKEA × LEGO</x:v>
      </x:c>
      <x:c r="C21" s="22" t="str">
        <x:v>BYGGLEK带乐高凸点的收纳盒与积木套装</x:v>
      </x:c>
      <x:c r="D21" s="22" t="str">
        <x:v>产品机制参考</x:v>
      </x:c>
      <x:c r="E21" s="22" t="str">
        <x:v>双方官方发布可确认产品与联合设计理念；单品利润未公开。</x:v>
      </x:c>
      <x:c r="F21" s="22" t="str">
        <x:v>让收纳容器同时成为搭建底座，解决收拾与保留作品之间的冲突。</x:v>
      </x:c>
    </x:row>
    <x:row r="22" ht="86" customHeight="1">
      <x:c r="A22" s="22" t="str">
        <x:v>C17</x:v>
      </x:c>
      <x:c r="B22" s="22" t="str">
        <x:v>adidas × LEGO</x:v>
      </x:c>
      <x:c r="C22" s="22" t="str">
        <x:v>LEGO元素运动鞋、服装及儿童产品</x:v>
      </x:c>
      <x:c r="D22" s="22" t="str">
        <x:v>产品机制参考</x:v>
      </x:c>
      <x:c r="E22" s="22" t="str">
        <x:v>2020年官方宣布多年合作；首期包括ZX8000联名鞋。</x:v>
      </x:c>
      <x:c r="F22" s="22" t="str">
        <x:v>把积木的颜色、拼装感和运动产品结合，具有系列扩展空间。</x:v>
      </x:c>
    </x:row>
    <x:row r="23" ht="86" customHeight="1">
      <x:c r="A23" s="22" t="str">
        <x:v>C18</x:v>
      </x:c>
      <x:c r="B23" s="22" t="str">
        <x:v>IKEA × Sonos</x:v>
      </x:c>
      <x:c r="C23" s="22" t="str">
        <x:v>SYMFONISK书架音箱、台灯音箱等</x:v>
      </x:c>
      <x:c r="D23" s="22" t="str">
        <x:v>风险与混合结果</x:v>
      </x:c>
      <x:c r="E23" s="22" t="str">
        <x:v>有多年产品迭代；2025年双方确认停止新产品合作并逐步售完库存。</x:v>
      </x:c>
      <x:c r="F23" s="22" t="str">
        <x:v>声学系统融入家具，既展示功能互补，也提示联网硬件的退出责任。</x:v>
      </x:c>
    </x:row>
    <x:row r="24" ht="86" customHeight="1">
      <x:c r="A24" s="22" t="str">
        <x:v>C19</x:v>
      </x:c>
      <x:c r="B24" s="22" t="str">
        <x:v>Apple × Nike</x:v>
      </x:c>
      <x:c r="C24" s="22" t="str">
        <x:v>Apple Watch Nike+、运动表带、跑步软件体验</x:v>
      </x:c>
      <x:c r="D24" s="22" t="str">
        <x:v>产品机制参考</x:v>
      </x:c>
      <x:c r="E24" s="22" t="str">
        <x:v>官方确认硬件、设计和Nike跑步服务整合。</x:v>
      </x:c>
      <x:c r="F24" s="22" t="str">
        <x:v>让技术能力嵌入跑步习惯，而不是只更换品牌标记。</x:v>
      </x:c>
    </x:row>
    <x:row r="25" ht="86" customHeight="1">
      <x:c r="A25" s="22" t="str">
        <x:v>C20</x:v>
      </x:c>
      <x:c r="B25" s="22" t="str">
        <x:v>Apple × Hermès</x:v>
      </x:c>
      <x:c r="C25" s="22" t="str">
        <x:v>Apple Watch Hermès、皮革表带和专属表盘</x:v>
      </x:c>
      <x:c r="D25" s="22" t="str">
        <x:v>合作延续有据</x:v>
      </x:c>
      <x:c r="E25" s="22" t="str">
        <x:v>2015推出、2016官方继续发布新款式和颜色。</x:v>
      </x:c>
      <x:c r="F25" s="22" t="str">
        <x:v>在同一技术平台上，以工艺与审美为高端客群提供不同购买理由。</x:v>
      </x:c>
    </x:row>
    <x:row r="26" ht="86" customHeight="1">
      <x:c r="A26" s="22" t="str">
        <x:v>C21</x:v>
      </x:c>
      <x:c r="B26" s="22" t="str">
        <x:v>华为 × Leica</x:v>
      </x:c>
      <x:c r="C26" s="22" t="str">
        <x:v>P9/P9 Plus双摄手机与联合影像体验</x:v>
      </x:c>
      <x:c r="D26" s="22" t="str">
        <x:v>销售表现有据</x:v>
      </x:c>
      <x:c r="E26" s="22" t="str">
        <x:v>华为确认P9为双方联合工程开发产品；媒体转述该系列出货超过1000万台。</x:v>
      </x:c>
      <x:c r="F26" s="22" t="str">
        <x:v>把专业摄影能力与手机高频拍摄结合，联名为核心功能服务。</x:v>
      </x:c>
    </x:row>
    <x:row r="27" ht="86" customHeight="1">
      <x:c r="A27" s="22" t="str">
        <x:v>C22</x:v>
      </x:c>
      <x:c r="B27" s="22" t="str">
        <x:v>Samsung × Thom Browne</x:v>
      </x:c>
      <x:c r="C27" s="22" t="str">
        <x:v>Galaxy Z Flip Thom Browne版及手表、耳机套装</x:v>
      </x:c>
      <x:c r="D27" s="22" t="str">
        <x:v>销售表现有据</x:v>
      </x:c>
      <x:c r="E27" s="22" t="str">
        <x:v>韩联社援引三星：韩国首发约2.5小时售罄；首批数量未披露。</x:v>
      </x:c>
      <x:c r="F27" s="22" t="str">
        <x:v>不是孤立贴标，而是设备、配件与界面的统一生活方式设计。</x:v>
      </x:c>
    </x:row>
    <x:row r="28" ht="86" customHeight="1">
      <x:c r="A28" s="22" t="str">
        <x:v>C23</x:v>
      </x:c>
      <x:c r="B28" s="22" t="str">
        <x:v>GoPro × Red Bull</x:v>
      </x:c>
      <x:c r="C28" s="22" t="str">
        <x:v>运动事件影像、联合制作及跨平台分发内容</x:v>
      </x:c>
      <x:c r="D28" s="22" t="str">
        <x:v>产品机制参考</x:v>
      </x:c>
      <x:c r="E28" s="22" t="str">
        <x:v>官方宣布多年内容、分发与创新合作，包含内容权利安排和股权关系。</x:v>
      </x:c>
      <x:c r="F28" s="22" t="str">
        <x:v>一方提供拍摄能力，另一方提供事件与受众，产物是可重复利用的内容资产。</x:v>
      </x:c>
    </x:row>
    <x:row r="29" ht="86" customHeight="1">
      <x:c r="A29" s="22" t="str">
        <x:v>C24</x:v>
      </x:c>
      <x:c r="B29" s="22" t="str">
        <x:v>Starbucks × Spotify</x:v>
      </x:c>
      <x:c r="C29" s="22" t="str">
        <x:v>门店音乐发现、播放列表与Spotify互动</x:v>
      </x:c>
      <x:c r="D29" s="22" t="str">
        <x:v>产品机制参考</x:v>
      </x:c>
      <x:c r="E29" s="22" t="str">
        <x:v>公开报道和星巴克官方音乐页可确认音乐发现与播放列表合作。</x:v>
      </x:c>
      <x:c r="F29" s="22" t="str">
        <x:v>把门店听歌的短暂体验，延长到消费者离店后的数字触点。</x:v>
      </x:c>
    </x:row>
    <x:row r="30" ht="86" customHeight="1">
      <x:c r="A30" s="22" t="str">
        <x:v>C25</x:v>
      </x:c>
      <x:c r="B30" s="22" t="str">
        <x:v>Coca-Cola × OREO</x:v>
      </x:c>
      <x:c r="C30" s="22" t="str">
        <x:v>OREO风味无糖可乐、可乐风味OREO饼干及数字互动</x:v>
      </x:c>
      <x:c r="D30" s="22" t="str">
        <x:v>产品机制参考</x:v>
      </x:c>
      <x:c r="E30" s="22" t="str">
        <x:v>双方官方确认双向新品，不只是单向印包装；独立销售效果未披露。</x:v>
      </x:c>
      <x:c r="F30" s="22" t="str">
        <x:v>让双方都把对方的感官特征变成自己的产品，形成对称的新鲜感。</x:v>
      </x:c>
    </x:row>
    <x:row r="31" ht="86" customHeight="1">
      <x:c r="A31" s="22" t="str">
        <x:v>C26</x:v>
      </x:c>
      <x:c r="B31" s="22" t="str">
        <x:v>Heinz × Absolut</x:v>
      </x:c>
      <x:c r="C31" s="22" t="str">
        <x:v>番茄伏特加意面酱</x:v>
      </x:c>
      <x:c r="D31" s="22" t="str">
        <x:v>产品机制参考</x:v>
      </x:c>
      <x:c r="E31" s="22" t="str">
        <x:v>官方发布限量联名意面酱；本库不把代理商传播成绩视为独立盈利证明。</x:v>
      </x:c>
      <x:c r="F31" s="22" t="str">
        <x:v>两个品牌在一道真实菜谱里自然相遇，使用理由先于品牌噱头。</x:v>
      </x:c>
    </x:row>
    <x:row r="32" ht="86" customHeight="1">
      <x:c r="A32" s="22" t="str">
        <x:v>C27</x:v>
      </x:c>
      <x:c r="B32" s="22" t="str">
        <x:v>Taco Bell × Doritos</x:v>
      </x:c>
      <x:c r="C32" s="22" t="str">
        <x:v>Doritos Locos Tacos风味玉米脆壳；后续反向推出袋装薯片</x:v>
      </x:c>
      <x:c r="D32" s="22" t="str">
        <x:v>销售表现有据</x:v>
      </x:c>
      <x:c r="E32" s="22" t="str">
        <x:v>百事2013年4月披露：自2012年3月上市已售逾3.75亿个Nacho Cheese款。</x:v>
      </x:c>
      <x:c r="F32" s="22" t="str">
        <x:v>把对方最有辨识度的味觉资产放进自己主力产品结构。</x:v>
      </x:c>
    </x:row>
    <x:row r="33" ht="86" customHeight="1">
      <x:c r="A33" s="22" t="str">
        <x:v>C28</x:v>
      </x:c>
      <x:c r="B33" s="22" t="str">
        <x:v>KFC × Crocs</x:v>
      </x:c>
      <x:c r="C33" s="22" t="str">
        <x:v>炸鸡图案Classic Clog及鸡腿鞋饰</x:v>
      </x:c>
      <x:c r="D33" s="22" t="str">
        <x:v>销售表现有据</x:v>
      </x:c>
      <x:c r="E33" s="22" t="str">
        <x:v>Crocs官方页标示售罄；媒体报道上线不到半小时售罄。</x:v>
      </x:c>
      <x:c r="F33" s="22" t="str">
        <x:v>将食物符号转成可穿戴、可展示的幽默消费品。</x:v>
      </x:c>
    </x:row>
    <x:row r="34" ht="86" customHeight="1">
      <x:c r="A34" s="22" t="str">
        <x:v>C29</x:v>
      </x:c>
      <x:c r="B34" s="22" t="str">
        <x:v>McDonald’s × Crocs</x:v>
      </x:c>
      <x:c r="C34" s="22" t="str">
        <x:v>角色主题鞋、袜与鞋饰；后续Happy Meal迷你鞋玩具</x:v>
      </x:c>
      <x:c r="D34" s="22" t="str">
        <x:v>合作延续有据</x:v>
      </x:c>
      <x:c r="E34" s="22" t="str">
        <x:v>2023官方推出鞋服周边；2024又出现联名Happy Meal玩具。</x:v>
      </x:c>
      <x:c r="F34" s="22" t="str">
        <x:v>同一组资产能在双方不同价格和消费频次的渠道中反向应用。</x:v>
      </x:c>
    </x:row>
    <x:row r="35" ht="86" customHeight="1">
      <x:c r="A35" s="22" t="str">
        <x:v>C30</x:v>
      </x:c>
      <x:c r="B35" s="22" t="str">
        <x:v>Nike SB × Ben &amp; Jerry’s</x:v>
      </x:c>
      <x:c r="C35" s="22" t="str">
        <x:v>Chunky Dunky SB Dunk Low运动鞋</x:v>
      </x:c>
      <x:c r="D35" s="22" t="str">
        <x:v>销售表现有据</x:v>
      </x:c>
      <x:c r="E35" s="22" t="str">
        <x:v>Nike档案可确认设计；媒体记录发售迅速售罄。</x:v>
      </x:c>
      <x:c r="F35" s="22" t="str">
        <x:v>把冰淇淋包装的奶牛、天空、融化图形转为鞋材和鞋身结构。</x:v>
      </x:c>
    </x:row>
    <x:row r="36" ht="86" customHeight="1">
      <x:c r="A36" s="22" t="str">
        <x:v>C31</x:v>
      </x:c>
      <x:c r="B36" s="22" t="str">
        <x:v>LOEWE × Studio Ghibli</x:v>
      </x:c>
      <x:c r="C36" s="22" t="str">
        <x:v>《龙猫》《千与千寻》《哈尔的移动城堡》服装、皮具和配饰</x:v>
      </x:c>
      <x:c r="D36" s="22" t="str">
        <x:v>合作延续有据</x:v>
      </x:c>
      <x:c r="E36" s="22" t="str">
        <x:v>LOEWE官方将2023系列称为双方第三个、也是最后一个系列。</x:v>
      </x:c>
      <x:c r="F36" s="22" t="str">
        <x:v>把IP细节转化为刺绣、皮革等工艺对象，而非只复制人物印花。</x:v>
      </x:c>
    </x:row>
    <x:row r="37" ht="86" customHeight="1">
      <x:c r="A37" s="22" t="str">
        <x:v>C32</x:v>
      </x:c>
      <x:c r="B37" s="22" t="str">
        <x:v>Xbox × Barbie</x:v>
      </x:c>
      <x:c r="C37" s="22" t="str">
        <x:v>Forza Horizon 5联名车辆、抽奖定制主机和手柄</x:v>
      </x:c>
      <x:c r="D37" s="22" t="str">
        <x:v>产品机制参考</x:v>
      </x:c>
      <x:c r="E37" s="22" t="str">
        <x:v>Xbox官方公布游戏车辆与赠品合作；定制主机不是常规大规模零售新品。</x:v>
      </x:c>
      <x:c r="F37" s="22" t="str">
        <x:v>一个IP可分别映射为游戏内容、实体赠品和传播视觉。</x:v>
      </x:c>
    </x:row>
    <x:row r="38" ht="86" customHeight="1">
      <x:c r="A38" s="22" t="str">
        <x:v>C33</x:v>
      </x:c>
      <x:c r="B38" s="22" t="str">
        <x:v>Airbnb × Barbie</x:v>
      </x:c>
      <x:c r="C38" s="22" t="str">
        <x:v>以Ken为叙事主角的Malibu DreamHouse限量住宿体验</x:v>
      </x:c>
      <x:c r="D38" s="22" t="str">
        <x:v>产品机制参考</x:v>
      </x:c>
      <x:c r="E38" s="22" t="str">
        <x:v>Airbnb官方推出可预约的电影主题体验；不属于规模化酒店产品。</x:v>
      </x:c>
      <x:c r="F38" s="22" t="str">
        <x:v>把抽象世界观变成真实可进入的场景，使少量体验产生内容素材。</x:v>
      </x:c>
    </x:row>
    <x:row r="39" ht="86" customHeight="1">
      <x:c r="A39" s="22" t="str">
        <x:v>C34</x:v>
      </x:c>
      <x:c r="B39" s="22" t="str">
        <x:v>Starbucks × Delta Air Lines</x:v>
      </x:c>
      <x:c r="C39" s="22" t="str">
        <x:v>关联账户后的消费里程与会员权益</x:v>
      </x:c>
      <x:c r="D39" s="22" t="str">
        <x:v>合作延续有据</x:v>
      </x:c>
      <x:c r="E39" s="22" t="str">
        <x:v>双方2022推出合作；2026年7月官方再次更新权益，8月5日起实施新规则。</x:v>
      </x:c>
      <x:c r="F39" s="22" t="str">
        <x:v>用高频消费与低频旅行结合，创造跨场景的持续奖励。</x:v>
      </x:c>
    </x:row>
    <x:row r="40" ht="86" customHeight="1">
      <x:c r="A40" s="22" t="str">
        <x:v>C35</x:v>
      </x:c>
      <x:c r="B40" s="22" t="str">
        <x:v>Sephora × Kohl’s</x:v>
      </x:c>
      <x:c r="C40" s="22" t="str">
        <x:v>Sephora at Kohl’s店中店、美妆选品与零售体验</x:v>
      </x:c>
      <x:c r="D40" s="22" t="str">
        <x:v>销售表现有据</x:v>
      </x:c>
      <x:c r="E40" s="22" t="str">
        <x:v>Kohl’s披露2023年该业务销售额超过14亿美元。</x:v>
      </x:c>
      <x:c r="F40" s="22" t="str">
        <x:v>把专业选品与服务送入现成门店网络，合作产物是持续经营渠道。</x:v>
      </x:c>
    </x:row>
    <x:row r="41" ht="86" customHeight="1">
      <x:c r="A41" s="22" t="str">
        <x:v>C36</x:v>
      </x:c>
      <x:c r="B41" s="22" t="str">
        <x:v>Nestlé × Starbucks</x:v>
      </x:c>
      <x:c r="C41" s="22" t="str">
        <x:v>Starbucks胶囊、咖啡豆、研磨及速溶产品和餐饮渠道供给</x:v>
      </x:c>
      <x:c r="D41" s="22" t="str">
        <x:v>销售表现有据</x:v>
      </x:c>
      <x:c r="E41" s="22" t="str">
        <x:v>Nestlé称2022年Starbucks业务带来16亿美元增量销售；为企业使用的口径。</x:v>
      </x:c>
      <x:c r="F41" s="22" t="str">
        <x:v>品牌与咖啡知识，结合制造、胶囊平台及全球分销能力。</x:v>
      </x:c>
    </x:row>
    <x:row r="42" ht="86" customHeight="1">
      <x:c r="A42" s="22" t="str">
        <x:v>C37</x:v>
      </x:c>
      <x:c r="B42" s="22" t="str">
        <x:v>adidas × Parley for the Oceans</x:v>
      </x:c>
      <x:c r="C42" s="22" t="str">
        <x:v>采用Parley Ocean Plastic相关材料的鞋服产品</x:v>
      </x:c>
      <x:c r="D42" s="22" t="str">
        <x:v>合作延续有据</x:v>
      </x:c>
      <x:c r="E42" s="22" t="str">
        <x:v>adidas在2020年可持续发展披露中记录双方五年合作。</x:v>
      </x:c>
      <x:c r="F42" s="22" t="str">
        <x:v>把材料方案和价值主张嵌入产品，而非只有公益口号。</x:v>
      </x:c>
    </x:row>
    <x:row r="43" ht="86" customHeight="1">
      <x:c r="A43" s="22" t="str">
        <x:v>C38</x:v>
      </x:c>
      <x:c r="B43" s="22" t="str">
        <x:v>adidas × Yeezy／Ye</x:v>
      </x:c>
      <x:c r="C43" s="22" t="str">
        <x:v>Yeezy鞋服系列</x:v>
      </x:c>
      <x:c r="D43" s="22" t="str">
        <x:v>风险与混合结果</x:v>
      </x:c>
      <x:c r="E43" s="22" t="str">
        <x:v>2022年因Ye反犹言论终止；路透2025报道最后库存于2024年第四季度售完。</x:v>
      </x:c>
      <x:c r="F43" s="22" t="str">
        <x:v>前期热销与后期声誉、库存风险可同时存在；核心人物风险可反向传导。</x:v>
      </x:c>
    </x:row>
    <x:row r="44" ht="86" customHeight="1">
      <x:c r="A44" s="22" t="str">
        <x:v>C39</x:v>
      </x:c>
      <x:c r="B44" s="22" t="str">
        <x:v>adidas × Ivy Park</x:v>
      </x:c>
      <x:c r="C44" s="22" t="str">
        <x:v>Ivy Park运动休闲服饰、鞋履</x:v>
      </x:c>
      <x:c r="D44" s="22" t="str">
        <x:v>商业受挫</x:v>
      </x:c>
      <x:c r="E44" s="22" t="str">
        <x:v>WSJ报道2022年销售约4000万美元，对比内部预估2.5亿美元；2023双方分手。</x:v>
      </x:c>
      <x:c r="F44" s="22" t="str">
        <x:v>巨大粉丝量与实际购买意愿并非同一个量；预测要落到款式、价格与购买频率。</x:v>
      </x:c>
    </x:row>
    <x:row r="45" ht="86" customHeight="1">
      <x:c r="A45" s="22" t="str">
        <x:v>C40</x:v>
      </x:c>
      <x:c r="B45" s="22" t="str">
        <x:v>Gap × Yeezy</x:v>
      </x:c>
      <x:c r="C45" s="22" t="str">
        <x:v>Yeezy Gap连帽衫、外套；后期部分系列另含Balenciaga</x:v>
      </x:c>
      <x:c r="D45" s="22" t="str">
        <x:v>风险与混合结果</x:v>
      </x:c>
      <x:c r="E45" s="22" t="str">
        <x:v>2022年9月合作破裂；Ye方指称履约问题；10月Gap因言论争议撤下剩余产品。</x:v>
      </x:c>
      <x:c r="F45" s="22" t="str">
        <x:v>分销、专属门店、创意控制等治理争议，可以先于后续声誉危机发生。</x:v>
      </x:c>
    </x:row>
    <x:row r="46" ht="86" customHeight="1">
      <x:c r="A46" s="22" t="str">
        <x:v>C41</x:v>
      </x:c>
      <x:c r="B46" s="22" t="str">
        <x:v>Target × Neiman Marcus</x:v>
      </x:c>
      <x:c r="C46" s="22" t="str">
        <x:v>24位设计师参与的约50款节日礼品，包括家居、配饰与服装</x:v>
      </x:c>
      <x:c r="D46" s="22" t="str">
        <x:v>商业受挫</x:v>
      </x:c>
      <x:c r="E46" s="22" t="str">
        <x:v>公开报道记录销售低于预期、上市后较快折价清货。</x:v>
      </x:c>
      <x:c r="F46" s="22" t="str">
        <x:v>合作名气没有替代具体价格、选品和购物任务；Target顾客未必想买这类高价礼品。</x:v>
      </x:c>
    </x:row>
    <x:row r="47" ht="86" customHeight="1">
      <x:c r="A47" s="22" t="str">
        <x:v>C42</x:v>
      </x:c>
      <x:c r="B47" s="22" t="str">
        <x:v>McDonald’s × Krispy Kreme</x:v>
      </x:c>
      <x:c r="C47" s="22" t="str">
        <x:v>在麦当劳门店销售Krispy Kreme甜甜圈</x:v>
      </x:c>
      <x:c r="D47" s="22" t="str">
        <x:v>商业受挫</x:v>
      </x:c>
      <x:c r="E47" s="22" t="str">
        <x:v>联合声明：约2400家门店合作；Krispy Kreme未能使成本匹配单店需求，模式难以持续。</x:v>
      </x:c>
      <x:c r="F47" s="22" t="str">
        <x:v>渠道互补不保证每方都赚钱；鲜食配送成本与店均销量必须匹配。</x:v>
      </x:c>
    </x:row>
    <x:row r="48" ht="86" customHeight="1">
      <x:c r="A48" s="22" t="str">
        <x:v>C43</x:v>
      </x:c>
      <x:c r="B48" s="22" t="str">
        <x:v>Beyond Meat × PepsiCo</x:v>
      </x:c>
      <x:c r="C48" s="22" t="str">
        <x:v>PLANeT Partnership旗下Beyond Meat植物肉干</x:v>
      </x:c>
      <x:c r="D48" s="22" t="str">
        <x:v>商业受挫</x:v>
      </x:c>
      <x:c r="E48" s="22" t="str">
        <x:v>2024报道公司停止植物肉干产品，作为改善成本及利润率调整的一部分。</x:v>
      </x:c>
      <x:c r="F48" s="22" t="str">
        <x:v>趋势与渠道资源不是充分条件；复杂制造和产品单位成本可能压过需求。</x:v>
      </x:c>
    </x:row>
    <x:row r="49" ht="86" customHeight="1">
      <x:c r="A49" s="22" t="str">
        <x:v>C44</x:v>
      </x:c>
      <x:c r="B49" s="22" t="str">
        <x:v>McDonald’s × Beyond Meat</x:v>
      </x:c>
      <x:c r="C49" s="22" t="str">
        <x:v>美国McPlant植物肉汉堡测试</x:v>
      </x:c>
      <x:c r="D49" s="22" t="str">
        <x:v>商业受挫</x:v>
      </x:c>
      <x:c r="E49" s="22" t="str">
        <x:v>美国测试结束；2024麦当劳美国负责人称当地消费者需求不足。</x:v>
      </x:c>
      <x:c r="F49" s="22" t="str">
        <x:v>宏观饮食趋势需要落到特定门店客群、具体口味和购买场景。</x:v>
      </x:c>
    </x:row>
    <x:row r="50" ht="86" customHeight="1">
      <x:c r="A50" s="22" t="str">
        <x:v>C45</x:v>
      </x:c>
      <x:c r="B50" s="22" t="str">
        <x:v>LEGO × Shell</x:v>
      </x:c>
      <x:c r="C50" s="22" t="str">
        <x:v>Shell标识积木、加油站销售或促销套装</x:v>
      </x:c>
      <x:c r="D50" s="22" t="str">
        <x:v>风险与混合结果</x:v>
      </x:c>
      <x:c r="E50" s="22" t="str">
        <x:v>环境组织施压后，LEGO宣布现有合同到期后不再续约。</x:v>
      </x:c>
      <x:c r="F50" s="22" t="str">
        <x:v>合作对象的公共争议可通过品牌关联传给自己；需要价值观与声誉情境测试。</x:v>
      </x:c>
    </x:row>
    <x:row r="51" ht="86" customHeight="1">
      <x:c r="A51" s="22" t="str">
        <x:v>C46</x:v>
      </x:c>
      <x:c r="B51" s="22" t="str">
        <x:v>喜茶 × 景德镇中国陶瓷博物馆</x:v>
      </x:c>
      <x:c r="C51" s="22" t="str">
        <x:v>“佛喜”饮品、宗教人物相关杯身及周边</x:v>
      </x:c>
      <x:c r="D51" s="22" t="str">
        <x:v>风险与混合结果</x:v>
      </x:c>
      <x:c r="E51" s="22" t="str">
        <x:v>媒体报道当地宗教事务部门约谈；联名随后下架，馆方表示合作结束。</x:v>
      </x:c>
      <x:c r="F51" s="22" t="str">
        <x:v>馆藏合作与具体商业表达仍需分别审查；文化图像的语境不可忽略。</x:v>
      </x:c>
    </x:row>
    <x:row r="52" ht="86" customHeight="1">
      <x:c r="A52" s="22" t="str">
        <x:v>C47</x:v>
      </x:c>
      <x:c r="B52" s="22" t="str">
        <x:v>乐乐茶 × 译林出版社</x:v>
      </x:c>
      <x:c r="C52" s="22" t="str">
        <x:v>“烟腔乌龙”、鲁迅画像杯袋、立牌与小册子</x:v>
      </x:c>
      <x:c r="D52" s="22" t="str">
        <x:v>风险与混合结果</x:v>
      </x:c>
      <x:c r="E52" s="22" t="str">
        <x:v>2024撤文宣并致歉；2026声明确认法院认定相关画像使用侵害著作权权益。</x:v>
      </x:c>
      <x:c r="F52" s="22" t="str">
        <x:v>出版合作不自动覆盖肖像画作者的著作权；应逐个资产核对授权链。</x:v>
      </x:c>
    </x:row>
    <x:row r="53" ht="86" customHeight="1">
      <x:c r="A53" s="22" t="str">
        <x:v>C48</x:v>
      </x:c>
      <x:c r="B53" s="22" t="str">
        <x:v>Gucci × adidas</x:v>
      </x:c>
      <x:c r="C53" s="22" t="str">
        <x:v>联名装饰性伞具及服饰系列</x:v>
      </x:c>
      <x:c r="D53" s="22" t="str">
        <x:v>风险与混合结果</x:v>
      </x:c>
      <x:c r="E53" s="22" t="str">
        <x:v>伞具明示不防水引发讨论；未找到证明整个联名商业失败的数据。</x:v>
      </x:c>
      <x:c r="F53" s="22" t="str">
        <x:v>商品名称引发的功能期待可能与设计定位冲突，要测试消费者如何理解。</x:v>
      </x:c>
    </x:row>
    <x:row r="54" ht="86" customHeight="1">
      <x:c r="A54" s="22" t="str">
        <x:v>C49</x:v>
      </x:c>
      <x:c r="B54" s="22" t="str">
        <x:v>McDonald’s × BTS</x:v>
      </x:c>
      <x:c r="C54" s="22" t="str">
        <x:v>BTS Meal套餐、两款酱料与主题包装</x:v>
      </x:c>
      <x:c r="D54" s="22" t="str">
        <x:v>风险与混合结果</x:v>
      </x:c>
      <x:c r="E54" s="22" t="str">
        <x:v>印尼部分门店因拥挤暂时关闭；合作同时带来明显需求，并非整体销售失败。</x:v>
      </x:c>
      <x:c r="F54" s="22" t="str">
        <x:v>情感动员可能集中到短时间、少数门店；需限流、预约与取餐分流。</x:v>
      </x:c>
    </x:row>
    <x:row r="55" ht="86" customHeight="1">
      <x:c r="A55" s="22" t="str">
        <x:v>C50</x:v>
      </x:c>
      <x:c r="B55" s="22" t="str">
        <x:v>奈雪的茶 × 薄盒「范特西音乐宇宙」</x:v>
      </x:c>
      <x:c r="C55" s="22" t="str">
        <x:v>主题茶饮、杯袋及范特西相关数字互动</x:v>
      </x:c>
      <x:c r="D55" s="22" t="str">
        <x:v>风险与混合结果</x:v>
      </x:c>
      <x:c r="E55" s="22" t="str">
        <x:v>公开报道明确合作对象为薄盒旗下项目；传播中出现是否为周杰伦本人合作的理解争议。</x:v>
      </x:c>
      <x:c r="F55" s="22" t="str">
        <x:v>合法授权对象、宣传名称和消费者理解需要相互一致。</x:v>
      </x:c>
    </x:row>
    <x:row r="56" ht="86" customHeight="1">
      <x:c r="A56" s="22" t="str">
        <x:v>C51</x:v>
      </x:c>
      <x:c r="B56" s="22" t="str">
        <x:v>McDonald’s × Mr Doodle</x:v>
      </x:c>
      <x:c r="C56" s="22" t="str">
        <x:v>儿童节涂鸦主题包装、主题餐厅和快闪体验</x:v>
      </x:c>
      <x:c r="D56" s="22" t="str">
        <x:v>产品机制参考</x:v>
      </x:c>
      <x:c r="E56" s="22" t="str">
        <x:v>麦当劳中国官方发布艺术家合作；同档期其他玩具活动不应全部算入本联名。</x:v>
      </x:c>
      <x:c r="F56" s="22" t="str">
        <x:v>用统一图形系统覆盖包装、空间与线下体验，形成完整活动识别。</x:v>
      </x:c>
    </x:row>
    <x:row r="57" ht="86" customHeight="1">
      <x:c r="A57" s="22" t="str">
        <x:v>C52</x:v>
      </x:c>
      <x:c r="B57" s="22" t="str">
        <x:v>UNIQLO × 卢浮宫博物馆</x:v>
      </x:c>
      <x:c r="C57" s="22" t="str">
        <x:v>Louvre Museum Collection UT及文化活动合作</x:v>
      </x:c>
      <x:c r="D57" s="22" t="str">
        <x:v>产品机制参考</x:v>
      </x:c>
      <x:c r="E57" s="22" t="str">
        <x:v>迅销官方确认2021年春起推出相关UT系列并支持馆内文化活动。</x:v>
      </x:c>
      <x:c r="F57" s="22" t="str">
        <x:v>把馆藏内容变成日常可穿戴载体，也提供文化公共活动触点。</x:v>
      </x:c>
    </x:row>
    <x:row r="58" ht="86" customHeight="1">
      <x:c r="A58" s="22" t="str">
        <x:v>C53</x:v>
      </x:c>
      <x:c r="B58" s="22" t="str">
        <x:v>Nike × Tiffany &amp; Co.</x:v>
      </x:c>
      <x:c r="C58" s="22" t="str">
        <x:v>Air Force 1 1837、银饰细节及相关纯银配件</x:v>
      </x:c>
      <x:c r="D58" s="22" t="str">
        <x:v>产品机制参考</x:v>
      </x:c>
      <x:c r="E58" s="22" t="str">
        <x:v>Tiffany与Nike官方可确认产品；独立销量与利润未公开。</x:v>
      </x:c>
      <x:c r="F58" s="22" t="str">
        <x:v>把Tiffany蓝与银器工艺融入熟悉鞋型，研究的是资产转译。</x:v>
      </x:c>
    </x:row>
    <x:row r="59" ht="86" customHeight="1">
      <x:c r="A59" s="22" t="str">
        <x:v>C54</x:v>
      </x:c>
      <x:c r="B59" s="22" t="str">
        <x:v>PUMA × FENTY</x:v>
      </x:c>
      <x:c r="C59" s="22" t="str">
        <x:v>Creeper等鞋履；2023重启Avanti产品</x:v>
      </x:c>
      <x:c r="D59" s="22" t="str">
        <x:v>产品机制参考</x:v>
      </x:c>
      <x:c r="E59" s="22" t="str">
        <x:v>PUMA官方2023发布重新合作及Avanti；不据此断言2026仍持续或长期盈利。</x:v>
      </x:c>
      <x:c r="F59" s="22" t="str">
        <x:v>主理人参与产品设计，可以形成独立产品语言，而不只是代言曝光。</x:v>
      </x:c>
    </x:row>
    <x:row r="60" ht="86" customHeight="1">
      <x:c r="A60" s="22" t="str">
        <x:v>C55</x:v>
      </x:c>
      <x:c r="B60" s="22" t="str">
        <x:v>Supreme × OREO</x:v>
      </x:c>
      <x:c r="C60" s="22" t="str">
        <x:v>红色、印Supreme标识的OREO三枚装</x:v>
      </x:c>
      <x:c r="D60" s="22" t="str">
        <x:v>产品机制参考</x:v>
      </x:c>
      <x:c r="E60" s="22" t="str">
        <x:v>Supreme官方春夏2020档案可确认产品；不采用二手高价挂牌作为销量证据。</x:v>
      </x:c>
      <x:c r="F60" s="22" t="str">
        <x:v>以低客单食品承载街头品牌收藏符号，扩大可参与人群。</x:v>
      </x:c>
    </x:row>
    <x:row r="61" ht="86" customHeight="1">
      <x:c r="A61" s="22" t="str">
        <x:v>C56</x:v>
      </x:c>
      <x:c r="B61" s="22" t="str">
        <x:v>H&amp;M × Mugler</x:v>
      </x:c>
      <x:c r="C61" s="22" t="str">
        <x:v>Mugler H&amp;M成衣与配饰胶囊系列</x:v>
      </x:c>
      <x:c r="D61" s="22" t="str">
        <x:v>产品机制参考</x:v>
      </x:c>
      <x:c r="E61" s="22" t="str">
        <x:v>H&amp;M官方2024回顾确认2023年Mugler合作；本库不推断独立盈利。</x:v>
      </x:c>
      <x:c r="F61" s="22" t="str">
        <x:v>高识别设计语言可跨价格带转译，但需要验证实穿、尺码和品质。</x:v>
      </x:c>
    </x:row>
    <x:row r="62" ht="86" customHeight="1">
      <x:c r="A62" s="22" t="str">
        <x:v>C57</x:v>
      </x:c>
      <x:c r="B62" s="22" t="str">
        <x:v>Target × Missoni</x:v>
      </x:c>
      <x:c r="C62" s="22" t="str">
        <x:v>Missoni图案服装、家居、配件等约400款</x:v>
      </x:c>
      <x:c r="D62" s="22" t="str">
        <x:v>风险与混合结果</x:v>
      </x:c>
      <x:c r="E62" s="22" t="str">
        <x:v>AP报道首发网站崩溃，之后部分订单延误或被取消；商品需求强。</x:v>
      </x:c>
      <x:c r="F62" s="22" t="str">
        <x:v>强需求与差履约可同时发生；广告、库存与订单系统要一起准备。</x:v>
      </x:c>
    </x:row>
    <x:row r="63" ht="86" customHeight="1">
      <x:c r="A63" s="22" t="str">
        <x:v>C58</x:v>
      </x:c>
      <x:c r="B63" s="22" t="str">
        <x:v>KFC × 《原神》</x:v>
      </x:c>
      <x:c r="C63" s="22" t="str">
        <x:v>主题套餐、角色徽章与游戏相关权益</x:v>
      </x:c>
      <x:c r="D63" s="22" t="str">
        <x:v>风险与混合结果</x:v>
      </x:c>
      <x:c r="E63" s="22" t="str">
        <x:v>上海、杭州部分线下活动因人群聚集等原因取消；并非全国合作全部失败。</x:v>
      </x:c>
      <x:c r="F63" s="22" t="str">
        <x:v>收藏赠品会使需求集中到门店与时点，赠品供应就是核心履约的一部分。</x:v>
      </x:c>
    </x:row>
    <x:row r="64" ht="86" customHeight="1">
      <x:c r="A64" s="22" t="str">
        <x:v>C59</x:v>
      </x:c>
      <x:c r="B64" s="22" t="str">
        <x:v>HTC／AT&amp;T × Facebook</x:v>
      </x:c>
      <x:c r="C64" s="22" t="str">
        <x:v>预装Facebook Home的HTC First手机</x:v>
      </x:c>
      <x:c r="D64" s="22" t="str">
        <x:v>风险与混合结果</x:v>
      </x:c>
      <x:c r="E64" s="22" t="str">
        <x:v>美国合约价上市不足一月由约99美元降至0.99美元；英国上市随后未按计划推进。</x:v>
      </x:c>
      <x:c r="F64" s="22" t="str">
        <x:v>喜欢一个应用不等于愿意让它成为整部手机的主界面；合作不能代替需求验证。</x:v>
      </x:c>
    </x:row>
    <x:row r="65" ht="86" customHeight="1">
      <x:c r="A65" s="22" t="str">
        <x:v>C60</x:v>
      </x:c>
      <x:c r="B65" s="22" t="str">
        <x:v>Apple × U2</x:v>
      </x:c>
      <x:c r="C65" s="22" t="str">
        <x:v>iTunes赠送《Songs of Innocence》专辑</x:v>
      </x:c>
      <x:c r="D65" s="22" t="str">
        <x:v>风险与混合结果</x:v>
      </x:c>
      <x:c r="E65" s="22" t="str">
        <x:v>专辑自动加入用户曲库引发反感；Apple随后提供移除工具。</x:v>
      </x:c>
      <x:c r="F65" s="22" t="str">
        <x:v>免费权益也需尊重选择；平台可触达用户，不代表用户都需要合作内容。</x:v>
      </x:c>
    </x:row>
  </x:sheetData>
  <x:mergeCells>
    <x:mergeCell ref="A1:F1"/>
    <x:mergeCell ref="A2:F3"/>
  </x:mergeCells>
  <x:pageMargins left="0.7" right="0.7" top="0.75" bottom="0.75" header="0.3" footer="0.3"/>
  <x:tableParts count="1">
    <x:tablePart xmlns:r="http://schemas.openxmlformats.org/officeDocument/2006/relationships" r:id="R8f483bfeb58146d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25" hidden="0" customWidth="1"/>
    <x:col min="3" max="3" width="50" hidden="0" customWidth="1"/>
    <x:col min="4" max="4" width="38" hidden="0" customWidth="1"/>
    <x:col min="5" max="5" width="42" hidden="0" customWidth="1"/>
    <x:col min="6" max="6" width="44" hidden="0" customWidth="1"/>
    <x:col min="7" max="7" width="24" hidden="0" customWidth="1"/>
  </x:cols>
  <x:sheetData>
    <x:row r="1" ht="34" customHeight="1">
      <x:c r="A1" s="3" t="str">
        <x:v>合作前尽调｜20 项研究维度</x:v>
      </x:c>
      <x:c r="B1" s="3"/>
      <x:c r="C1" s="3"/>
      <x:c r="D1" s="3"/>
      <x:c r="E1" s="3"/>
      <x:c r="F1" s="3"/>
      <x:c r="G1" s="3"/>
    </x:row>
    <x:row r="2" ht="22" customHeight="1">
      <x:c r="A2" s="8" t="str">
        <x:v>本表是建议工作框架，不是已验证的成功预测模型。权利、食品安全、隐私及属地监管等具体问题应由相应专业负责人审核。</x:v>
      </x:c>
      <x:c r="B2" s="8"/>
      <x:c r="C2" s="8"/>
      <x:c r="D2" s="8"/>
      <x:c r="E2" s="8"/>
      <x:c r="F2" s="8"/>
      <x:c r="G2" s="8"/>
    </x:row>
    <x:row r="3" ht="22" customHeight="1">
      <x:c r="A3" s="8"/>
      <x:c r="B3" s="8"/>
      <x:c r="C3" s="8"/>
      <x:c r="D3" s="8"/>
      <x:c r="E3" s="8"/>
      <x:c r="F3" s="8"/>
      <x:c r="G3" s="8"/>
    </x:row>
    <x:row r="5" ht="30" customHeight="1">
      <x:c r="A5" s="15" t="str">
        <x:v>编号</x:v>
      </x:c>
      <x:c r="B5" s="15" t="str">
        <x:v>维度</x:v>
      </x:c>
      <x:c r="C5" s="15" t="str">
        <x:v>核心问题</x:v>
      </x:c>
      <x:c r="D5" s="15" t="str">
        <x:v>资料与访谈对象</x:v>
      </x:c>
      <x:c r="E5" s="15" t="str">
        <x:v>应形成的交付物</x:v>
      </x:c>
      <x:c r="F5" s="15" t="str">
        <x:v>危险信号</x:v>
      </x:c>
      <x:c r="G5" s="15" t="str">
        <x:v>对应案例</x:v>
      </x:c>
    </x:row>
    <x:row r="6" ht="100" customHeight="1">
      <x:c r="A6" s="22" t="str">
        <x:v>D01</x:v>
      </x:c>
      <x:c r="B6" s="22" t="str">
        <x:v>双方目标与成功标准</x:v>
      </x:c>
      <x:c r="C6" s="22" t="str">
        <x:v>各自要收入、拉新、提价、品牌认知、渠道还是会员？目标冲突时谁优先？</x:v>
      </x:c>
      <x:c r="D6" s="22" t="str">
        <x:v>双方项目负责人、预算与目标文件</x:v>
      </x:c>
      <x:c r="E6" s="22" t="str">
        <x:v>分别写A/B目标、主指标、底线与期限</x:v>
      </x:c>
      <x:c r="F6" s="22" t="str">
        <x:v>双方只说要出圈，却没人对利润和交付负责</x:v>
      </x:c>
      <x:c r="G6" s="22" t="str">
        <x:v>C01；C35；C42</x:v>
      </x:c>
    </x:row>
    <x:row r="7" ht="100" customHeight="1">
      <x:c r="A7" s="22" t="str">
        <x:v>D02</x:v>
      </x:c>
      <x:c r="B7" s="22" t="str">
        <x:v>品牌定位与边界</x:v>
      </x:c>
      <x:c r="C7" s="22" t="str">
        <x:v>品牌承诺、核心印象、价格层级、不能被改动或暗示的东西是什么？</x:v>
      </x:c>
      <x:c r="D7" s="22" t="str">
        <x:v>品牌手册、过往研究、客服与评论</x:v>
      </x:c>
      <x:c r="E7" s="22" t="str">
        <x:v>品牌资产和禁用清单</x:v>
      </x:c>
      <x:c r="F7" s="22" t="str">
        <x:v>只比行业与视觉，不讨论消费者如何理解</x:v>
      </x:c>
      <x:c r="G7" s="22" t="str">
        <x:v>C03；C13；C48</x:v>
      </x:c>
    </x:row>
    <x:row r="8" ht="100" customHeight="1">
      <x:c r="A8" s="22" t="str">
        <x:v>D03</x:v>
      </x:c>
      <x:c r="B8" s="22" t="str">
        <x:v>真实资源与权属</x:v>
      </x:c>
      <x:c r="C8" s="22" t="str">
        <x:v>每方提供什么：设计、IP、原料、技术、渠道、场地、预算？能合法交付吗？</x:v>
      </x:c>
      <x:c r="D8" s="22" t="str">
        <x:v>资产列表、权属证明、合作资源确认</x:v>
      </x:c>
      <x:c r="E8" s="22" t="str">
        <x:v>资源—负责人—权利—交付物矩阵</x:v>
      </x:c>
      <x:c r="F8" s="22" t="str">
        <x:v>承诺流量或授权，却不能证明可用范围</x:v>
      </x:c>
      <x:c r="G8" s="22" t="str">
        <x:v>C16；C23；C47</x:v>
      </x:c>
    </x:row>
    <x:row r="9" ht="100" customHeight="1">
      <x:c r="A9" s="22" t="str">
        <x:v>D04</x:v>
      </x:c>
      <x:c r="B9" s="22" t="str">
        <x:v>受众分层与重合</x:v>
      </x:c>
      <x:c r="C9" s="22" t="str">
        <x:v>年龄地区、购买力、价值偏好、使用频率如何？双方老客与单边粉丝是谁？</x:v>
      </x:c>
      <x:c r="D9" s="22" t="str">
        <x:v>脱敏订单、会员分层、访谈和合规调研</x:v>
      </x:c>
      <x:c r="E9" s="22" t="str">
        <x:v>A独有、B独有、共同客、双方都非客户四组画像</x:v>
      </x:c>
      <x:c r="F9" s="22" t="str">
        <x:v>用粉丝数量或刻板标签替代真实购买数据</x:v>
      </x:c>
      <x:c r="G9" s="22" t="str">
        <x:v>C06；C07；C39</x:v>
      </x:c>
    </x:row>
    <x:row r="10" ht="100" customHeight="1">
      <x:c r="A10" s="22" t="str">
        <x:v>D05</x:v>
      </x:c>
      <x:c r="B10" s="22" t="str">
        <x:v>可转化增量受众</x:v>
      </x:c>
      <x:c r="C10" s="22" t="str">
        <x:v>哪群人是本来不会来、但这次愿意来的人？能从哪个渠道触达并转化？</x:v>
      </x:c>
      <x:c r="D10" s="22" t="str">
        <x:v>历史拉新、渠道可达、概念测试、试点</x:v>
      </x:c>
      <x:c r="E10" s="22" t="str">
        <x:v>可触达新客估算、假设范围与验证办法</x:v>
      </x:c>
      <x:c r="F10" s="22" t="str">
        <x:v>只计算受众并集，不考虑是否能买、在哪里买</x:v>
      </x:c>
      <x:c r="G10" s="22" t="str">
        <x:v>C01；C34；C35</x:v>
      </x:c>
    </x:row>
    <x:row r="11" ht="100" customHeight="1">
      <x:c r="A11" s="22" t="str">
        <x:v>D06</x:v>
      </x:c>
      <x:c r="B11" s="22" t="str">
        <x:v>真实需求与使用场景</x:v>
      </x:c>
      <x:c r="C11" s="22" t="str">
        <x:v>消费者在什么时刻用它？与现有方案相比解决了什么？撤下Logo还成立吗？</x:v>
      </x:c>
      <x:c r="D11" s="22" t="str">
        <x:v>近期购买经历、使用观察、样品测试</x:v>
      </x:c>
      <x:c r="E11" s="22" t="str">
        <x:v>场景—任务—现有替代—新价值说明</x:v>
      </x:c>
      <x:c r="F11" s="22" t="str">
        <x:v>消费者说有趣，但没有具体使用或购买时机</x:v>
      </x:c>
      <x:c r="G11" s="22" t="str">
        <x:v>C16；C26；C44；C59</x:v>
      </x:c>
    </x:row>
    <x:row r="12" ht="100" customHeight="1">
      <x:c r="A12" s="22" t="str">
        <x:v>D07</x:v>
      </x:c>
      <x:c r="B12" s="22" t="str">
        <x:v>功能互补与叙事合理性</x:v>
      </x:c>
      <x:c r="C12" s="22" t="str">
        <x:v>两种资产为何应该结合？消费者能否一句话讲清共同价值？</x:v>
      </x:c>
      <x:c r="D12" s="22" t="str">
        <x:v>产品样品、品牌认知访谈、概念盲测</x:v>
      </x:c>
      <x:c r="E12" s="22" t="str">
        <x:v>功能价值与情感价值分别说明</x:v>
      </x:c>
      <x:c r="F12" s="22" t="str">
        <x:v>只能解释品牌都很有名，不能解释这款产品为何存在</x:v>
      </x:c>
      <x:c r="G12" s="22" t="str">
        <x:v>C02；C21；C25；C27</x:v>
      </x:c>
    </x:row>
    <x:row r="13" ht="100" customHeight="1">
      <x:c r="A13" s="22" t="str">
        <x:v>D08</x:v>
      </x:c>
      <x:c r="B13" s="22" t="str">
        <x:v>最终产物与产品组合</x:v>
      </x:c>
      <x:c r="C13" s="22" t="str">
        <x:v>主商品、包装、周边、空间、内容、权益分别是什么？什么是必需品？</x:v>
      </x:c>
      <x:c r="D13" s="22" t="str">
        <x:v>原型、SKU清单、设计与运营评审</x:v>
      </x:c>
      <x:c r="E13" s="22" t="str">
        <x:v>产物树、主副SKU、赠品与库存规则</x:v>
      </x:c>
      <x:c r="F13" s="22" t="str">
        <x:v>十几种周边同时上，复杂度与价值没有对照</x:v>
      </x:c>
      <x:c r="G13" s="22" t="str">
        <x:v>C29；C32；C33；C51</x:v>
      </x:c>
    </x:row>
    <x:row r="14" ht="100" customHeight="1">
      <x:c r="A14" s="22" t="str">
        <x:v>D09</x:v>
      </x:c>
      <x:c r="B14" s="22" t="str">
        <x:v>价格与支付意愿</x:v>
      </x:c>
      <x:c r="C14" s="22" t="str">
        <x:v>原产品卖多少？新产品溢价来自哪里？普通用户与粉丝接受价格是否不同？</x:v>
      </x:c>
      <x:c r="D14" s="22" t="str">
        <x:v>历史成交、价格测试、报价与竞争品</x:v>
      </x:c>
      <x:c r="E14" s="22" t="str">
        <x:v>价格阶梯、净成交价、价格敏感性</x:v>
      </x:c>
      <x:c r="F14" s="22" t="str">
        <x:v>只问喜欢不喜欢，不在真实价格下问购买选择</x:v>
      </x:c>
      <x:c r="G14" s="22" t="str">
        <x:v>C09；C13；C22；C41</x:v>
      </x:c>
    </x:row>
    <x:row r="15" ht="100" customHeight="1">
      <x:c r="A15" s="22" t="str">
        <x:v>D10</x:v>
      </x:c>
      <x:c r="B15" s="22" t="str">
        <x:v>渠道与转化路径</x:v>
      </x:c>
      <x:c r="C15" s="22" t="str">
        <x:v>用户看见后在哪里下单、如何取货、怎样售后？双方哪些渠道真能开放？</x:v>
      </x:c>
      <x:c r="D15" s="22" t="str">
        <x:v>渠道清单、落地页原型、归因码、门店流程</x:v>
      </x:c>
      <x:c r="E15" s="22" t="str">
        <x:v>曝光—点击—订单—交付—复购路径</x:v>
      </x:c>
      <x:c r="F15" s="22" t="str">
        <x:v>传播内容没有承接入口，或渠道可用性未获确认</x:v>
      </x:c>
      <x:c r="G15" s="22" t="str">
        <x:v>C23；C34；C35；C57</x:v>
      </x:c>
    </x:row>
    <x:row r="16" ht="100" customHeight="1">
      <x:c r="A16" s="22" t="str">
        <x:v>D11</x:v>
      </x:c>
      <x:c r="B16" s="22" t="str">
        <x:v>供应链与峰值履约</x:v>
      </x:c>
      <x:c r="C16" s="22" t="str">
        <x:v>起订量、产能、交期、补货、保质期、赠品、库存同步能承受什么峰值？</x:v>
      </x:c>
      <x:c r="D16" s="22" t="str">
        <x:v>供应商报价、产线数据、门店与客服演练</x:v>
      </x:c>
      <x:c r="E16" s="22" t="str">
        <x:v>供货计划、峰值容量、缺货/延期补偿方案</x:v>
      </x:c>
      <x:c r="F16" s="22" t="str">
        <x:v>先承诺全国开售，后确认生产、配送或赠品数量</x:v>
      </x:c>
      <x:c r="G16" s="22" t="str">
        <x:v>C10；C42；C49；C58</x:v>
      </x:c>
    </x:row>
    <x:row r="17" ht="100" customHeight="1">
      <x:c r="A17" s="22" t="str">
        <x:v>D12</x:v>
      </x:c>
      <x:c r="B17" s="22" t="str">
        <x:v>数据、技术与用户选择</x:v>
      </x:c>
      <x:c r="C17" s="22" t="str">
        <x:v>是否要关联账户、接口和会员？谁处理数据？用户如何知情、退出和获得支持？</x:v>
      </x:c>
      <x:c r="D17" s="22" t="str">
        <x:v>系统评估、权限设计、法务与隐私审查</x:v>
      </x:c>
      <x:c r="E17" s="22" t="str">
        <x:v>数据流、最小权限、同意与退出设计</x:v>
      </x:c>
      <x:c r="F17" s="22" t="str">
        <x:v>把合作方用户库视为可任意导入的营销名单</x:v>
      </x:c>
      <x:c r="G17" s="22" t="str">
        <x:v>C18；C19；C24；C34；C60</x:v>
      </x:c>
    </x:row>
    <x:row r="18" ht="100" customHeight="1">
      <x:c r="A18" s="22" t="str">
        <x:v>D13</x:v>
      </x:c>
      <x:c r="B18" s="22" t="str">
        <x:v>双边经济与现金</x:v>
      </x:c>
      <x:c r="C18" s="22" t="str">
        <x:v>A和B分别赚什么、付什么、垫多少？保守销量下能承受多大损失？</x:v>
      </x:c>
      <x:c r="D18" s="22" t="str">
        <x:v>双方报价、成本、账期、税费与合同草案</x:v>
      </x:c>
      <x:c r="E18" s="22" t="str">
        <x:v>A/B损益、项目内部抵销、现金峰值与三情景</x:v>
      </x:c>
      <x:c r="F18" s="22" t="str">
        <x:v>项目总盘子好看，一方长期亏；最低保底与版税重复计费</x:v>
      </x:c>
      <x:c r="G18" s="22" t="str">
        <x:v>C36；C39；C42；C43</x:v>
      </x:c>
    </x:row>
    <x:row r="19" ht="100" customHeight="1">
      <x:c r="A19" s="22" t="str">
        <x:v>D14</x:v>
      </x:c>
      <x:c r="B19" s="22" t="str">
        <x:v>授权链与合同</x:v>
      </x:c>
      <x:c r="C19" s="22" t="str">
        <x:v>商标、图像、角色、音乐、字体、设计分别谁有权？地域、期限、品类、媒体是否覆盖？</x:v>
      </x:c>
      <x:c r="D19" s="22" t="str">
        <x:v>权利文件、素材台账、正式合同及属地法务</x:v>
      </x:c>
      <x:c r="E19" s="22" t="str">
        <x:v>逐资产授权表、审批权、责任、退出与库存条款</x:v>
      </x:c>
      <x:c r="F19" s="22" t="str">
        <x:v>有出版社或代理商合作，就默认所有视觉都已获许可</x:v>
      </x:c>
      <x:c r="G19" s="22" t="str">
        <x:v>C31；C45；C47；C50</x:v>
      </x:c>
    </x:row>
    <x:row r="20" ht="100" customHeight="1">
      <x:c r="A20" s="22" t="str">
        <x:v>D15</x:v>
      </x:c>
      <x:c r="B20" s="22" t="str">
        <x:v>文化、声誉与监管风险</x:v>
      </x:c>
      <x:c r="C20" s="22" t="str">
        <x:v>哪些表述会误读？宗教、儿童、食品、环保、名人行为等有哪些具体风险？</x:v>
      </x:c>
      <x:c r="D20" s="22" t="str">
        <x:v>本地用户测试、负面事件时间线、专业合规审查</x:v>
      </x:c>
      <x:c r="E20" s="22" t="str">
        <x:v>风险分级、不可接受事项、回应与暂停方案</x:v>
      </x:c>
      <x:c r="F20" s="22" t="str">
        <x:v>仅做正面创意评审，没有反方或特殊受众审查</x:v>
      </x:c>
      <x:c r="G20" s="22" t="str">
        <x:v>C37；C38；C45；C46；C48</x:v>
      </x:c>
    </x:row>
    <x:row r="21" ht="100" customHeight="1">
      <x:c r="A21" s="22" t="str">
        <x:v>D16</x:v>
      </x:c>
      <x:c r="B21" s="22" t="str">
        <x:v>合作意愿与治理</x:v>
      </x:c>
      <x:c r="C21" s="22" t="str">
        <x:v>谁真正能拍板？预算与资源是否获准？谁审批设计、投放、客服、停卖？</x:v>
      </x:c>
      <x:c r="D21" s="22" t="str">
        <x:v>决策人访谈、RACI责任表、资源确认函</x:v>
      </x:c>
      <x:c r="E21" s="22" t="str">
        <x:v>审批链、责任人、截止时间、争议升级机制</x:v>
      </x:c>
      <x:c r="F21" s="22" t="str">
        <x:v>两边都很感兴趣，却没有共同决策人或投入承诺</x:v>
      </x:c>
      <x:c r="G21" s="22" t="str">
        <x:v>C03；C40；C42</x:v>
      </x:c>
    </x:row>
    <x:row r="22" ht="100" customHeight="1">
      <x:c r="A22" s="22" t="str">
        <x:v>D17</x:v>
      </x:c>
      <x:c r="B22" s="22" t="str">
        <x:v>档期与生命周期</x:v>
      </x:c>
      <x:c r="C22" s="22" t="str">
        <x:v>联名与上新、节庆、IP热度是否匹配？设计—法务—生产—投放周期可否兑现？</x:v>
      </x:c>
      <x:c r="D22" s="22" t="str">
        <x:v>双方日历、供应商工期、IP排期</x:v>
      </x:c>
      <x:c r="E22" s="22" t="str">
        <x:v>关键路径、最迟决策点、替代档期</x:v>
      </x:c>
      <x:c r="F22" s="22" t="str">
        <x:v>热搜先定发布日期，之后才发现生产与审批赶不上</x:v>
      </x:c>
      <x:c r="G22" s="22" t="str">
        <x:v>C04；C07；C31</x:v>
      </x:c>
    </x:row>
    <x:row r="23" ht="100" customHeight="1">
      <x:c r="A23" s="22" t="str">
        <x:v>D18</x:v>
      </x:c>
      <x:c r="B23" s="22" t="str">
        <x:v>竞争、排他与替代伙伴</x:v>
      </x:c>
      <x:c r="C23" s="22" t="str">
        <x:v>本期排他约束是什么？对方最近联名过谁？有更低成本的替代合作或独立方案吗？</x:v>
      </x:c>
      <x:c r="D23" s="22" t="str">
        <x:v>过往联名库、合同限制、竞品价格与活动</x:v>
      </x:c>
      <x:c r="E23" s="22" t="str">
        <x:v>候选比较、独立开发基线、排他代价</x:v>
      </x:c>
      <x:c r="F23" s="22" t="str">
        <x:v>不做替代方案比较，把选定大牌视为唯一解</x:v>
      </x:c>
      <x:c r="G23" s="22" t="str">
        <x:v>C08；C14；C54；C56</x:v>
      </x:c>
    </x:row>
    <x:row r="24" ht="100" customHeight="1">
      <x:c r="A24" s="22" t="str">
        <x:v>D19</x:v>
      </x:c>
      <x:c r="B24" s="22" t="str">
        <x:v>测量与增量归因</x:v>
      </x:c>
      <x:c r="C24" s="22" t="str">
        <x:v>什么是成交、新客、复购？用何种对照排除折扣、开店、季节和宏观变化？</x:v>
      </x:c>
      <x:c r="D24" s="22" t="str">
        <x:v>基线数据、匹配门店/地区、测试方案</x:v>
      </x:c>
      <x:c r="E24" s="22" t="str">
        <x:v>指标字典、前后与对照组分析、数据负责人</x:v>
      </x:c>
      <x:c r="F24" s="22" t="str">
        <x:v>把全部活动期销售或集团增长算成联名贡献</x:v>
      </x:c>
      <x:c r="G24" s="22" t="str">
        <x:v>C01；C11；C21；C49；C51</x:v>
      </x:c>
    </x:row>
    <x:row r="25" ht="100" customHeight="1">
      <x:c r="A25" s="22" t="str">
        <x:v>D20</x:v>
      </x:c>
      <x:c r="B25" s="22" t="str">
        <x:v>长期资产、退出与复用</x:v>
      </x:c>
      <x:c r="C25" s="22" t="str">
        <x:v>项目结束留下什么？未售库存、内容许可、售后和软件支持如何处理？</x:v>
      </x:c>
      <x:c r="D25" s="22" t="str">
        <x:v>退出条款、库存计划、售后协议、复盘</x:v>
      </x:c>
      <x:c r="E25" s="22" t="str">
        <x:v>续做/停做条件、资产归档、停止与支持计划</x:v>
      </x:c>
      <x:c r="F25" s="22" t="str">
        <x:v>只设计上线，不设计清货、权利到期和服务终止</x:v>
      </x:c>
      <x:c r="G25" s="22" t="str">
        <x:v>C15；C18；C31；C38</x:v>
      </x:c>
    </x:row>
  </x:sheetData>
  <x:mergeCells>
    <x:mergeCell ref="A1:G1"/>
    <x:mergeCell ref="A2:G3"/>
  </x:mergeCells>
  <x:pageMargins left="0.7" right="0.7" top="0.75" bottom="0.75" header="0.3" footer="0.3"/>
  <x:tableParts count="1">
    <x:tablePart xmlns:r="http://schemas.openxmlformats.org/officeDocument/2006/relationships" r:id="Rf77866fe9dd44371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62" hidden="0" customWidth="1"/>
    <x:col min="3" max="3" width="53" hidden="0" customWidth="1"/>
    <x:col min="4" max="4" width="45" hidden="0" customWidth="1"/>
    <x:col min="5" max="5" width="55" hidden="0" customWidth="1"/>
  </x:cols>
  <x:sheetData>
    <x:row r="1" ht="34" customHeight="1">
      <x:c r="A1" s="3" t="str">
        <x:v>调研执行｜从简报到试点与复盘</x:v>
      </x:c>
      <x:c r="B1" s="3"/>
      <x:c r="C1" s="3"/>
      <x:c r="D1" s="3"/>
      <x:c r="E1" s="3"/>
    </x:row>
    <x:row r="2" ht="22" customHeight="1">
      <x:c r="A2" s="8" t="str">
        <x:v>公开资料只能完成一部分：预算、产能、授权和真实购买动机需要品牌方、运营方与消费者补证。所有样稿标明是否已获授权。</x:v>
      </x:c>
      <x:c r="B2" s="8"/>
      <x:c r="C2" s="8"/>
      <x:c r="D2" s="8"/>
      <x:c r="E2" s="8"/>
    </x:row>
    <x:row r="3" ht="22" customHeight="1">
      <x:c r="A3" s="8"/>
      <x:c r="B3" s="8"/>
      <x:c r="C3" s="8"/>
      <x:c r="D3" s="8"/>
      <x:c r="E3" s="8"/>
    </x:row>
    <x:row r="5" ht="30" customHeight="1">
      <x:c r="A5" s="15" t="str">
        <x:v>阶段</x:v>
      </x:c>
      <x:c r="B5" s="15" t="str">
        <x:v>任务</x:v>
      </x:c>
      <x:c r="C5" s="15" t="str">
        <x:v>具体动作</x:v>
      </x:c>
      <x:c r="D5" s="15" t="str">
        <x:v>交付物</x:v>
      </x:c>
      <x:c r="E5" s="15" t="str">
        <x:v>检查点</x:v>
      </x:c>
    </x:row>
    <x:row r="6" ht="76" customHeight="1">
      <x:c r="A6" s="22" t="str">
        <x:v>01</x:v>
      </x:c>
      <x:c r="B6" s="22" t="str">
        <x:v>目标对齐</x:v>
      </x:c>
      <x:c r="C6" s="22" t="str">
        <x:v>分别访谈双方决策者，明确主要指标、投入、损失上限、禁区</x:v>
      </x:c>
      <x:c r="D6" s="22" t="str">
        <x:v>双方一页项目简报</x:v>
      </x:c>
      <x:c r="E6" s="22" t="str">
        <x:v>没有目标与投入确认，不进入创意比稿</x:v>
      </x:c>
    </x:row>
    <x:row r="7" ht="76" customHeight="1">
      <x:c r="A7" s="22" t="str">
        <x:v>02</x:v>
      </x:c>
      <x:c r="B7" s="22" t="str">
        <x:v>公开研究与候选筛选</x:v>
      </x:c>
      <x:c r="C7" s="22" t="str">
        <x:v>核对定位、产品、过往联名、竞争关系、争议和权利范围</x:v>
      </x:c>
      <x:c r="D7" s="22" t="str">
        <x:v>候选比较表＋每个结论的来源</x:v>
      </x:c>
      <x:c r="E7" s="22" t="str">
        <x:v>新闻转载不算多个独立来源；未知项保留未知</x:v>
      </x:c>
    </x:row>
    <x:row r="8" ht="76" customHeight="1">
      <x:c r="A8" s="22" t="str">
        <x:v>03</x:v>
      </x:c>
      <x:c r="B8" s="22" t="str">
        <x:v>用户与场景验证</x:v>
      </x:c>
      <x:c r="C8" s="22" t="str">
        <x:v>覆盖A老客、B老客、共同客、潜在新客；先问真实购买，再问概念</x:v>
      </x:c>
      <x:c r="D8" s="22" t="str">
        <x:v>分群动机、拒购原因、现有替代</x:v>
      </x:c>
      <x:c r="E8" s="22" t="str">
        <x:v>仅粉丝投票或点赞不能证明真实购买需求</x:v>
      </x:c>
    </x:row>
    <x:row r="9" ht="76" customHeight="1">
      <x:c r="A9" s="22" t="str">
        <x:v>04</x:v>
      </x:c>
      <x:c r="B9" s="22" t="str">
        <x:v>提出可比较方案</x:v>
      </x:c>
      <x:c r="C9" s="22" t="str">
        <x:v>做A独立款、B独立款、联名款；尽量控制价格、质量与投放差异</x:v>
      </x:c>
      <x:c r="D9" s="22" t="str">
        <x:v>概念图、价值主张、价格梯度</x:v>
      </x:c>
      <x:c r="E9" s="22" t="str">
        <x:v>未获授权的概念样稿需明确是假设方案，不冒充已官宣</x:v>
      </x:c>
    </x:row>
    <x:row r="10" ht="76" customHeight="1">
      <x:c r="A10" s="22" t="str">
        <x:v>05</x:v>
      </x:c>
      <x:c r="B10" s="22" t="str">
        <x:v>样品与报价验证</x:v>
      </x:c>
      <x:c r="C10" s="22" t="str">
        <x:v>盲测产品、明示品牌后再测；确定起订量、交期、损耗、赠品</x:v>
      </x:c>
      <x:c r="D10" s="22" t="str">
        <x:v>样品结论、报价单、供货与操作工时</x:v>
      </x:c>
      <x:c r="E10" s="22" t="str">
        <x:v>有趣但不愿付钱，或无补货能力，应降规模/改方案</x:v>
      </x:c>
    </x:row>
    <x:row r="11" ht="76" customHeight="1">
      <x:c r="A11" s="22" t="str">
        <x:v>06</x:v>
      </x:c>
      <x:c r="B11" s="22" t="str">
        <x:v>双边经济与权利审查</x:v>
      </x:c>
      <x:c r="C11" s="22" t="str">
        <x:v>A/B分别测算；核对内部收费、权利链、排他、质量、售后、退出</x:v>
      </x:c>
      <x:c r="D11" s="22" t="str">
        <x:v>经济账＋授权台账＋责任和审批表</x:v>
      </x:c>
      <x:c r="E11" s="22" t="str">
        <x:v>不能用综合高分覆盖授权缺失、安全或不可承受现金风险</x:v>
      </x:c>
    </x:row>
    <x:row r="12" ht="76" customHeight="1">
      <x:c r="A12" s="22" t="str">
        <x:v>07</x:v>
      </x:c>
      <x:c r="B12" s="22" t="str">
        <x:v>受控试点</x:v>
      </x:c>
      <x:c r="C12" s="22" t="str">
        <x:v>限定门店/地区/时间，设置对照、限流、库存、客服与停止条件</x:v>
      </x:c>
      <x:c r="D12" s="22" t="str">
        <x:v>试点订单、交付、投诉、单位贡献</x:v>
      </x:c>
      <x:c r="E12" s="22" t="str">
        <x:v>不要在没有供货验证时直接全国同时铺开</x:v>
      </x:c>
    </x:row>
    <x:row r="13" ht="76" customHeight="1">
      <x:c r="A13" s="22" t="str">
        <x:v>08</x:v>
      </x:c>
      <x:c r="B13" s="22" t="str">
        <x:v>结果复盘与扩量</x:v>
      </x:c>
      <x:c r="C13" s="22" t="str">
        <x:v>分别评估销售增量、交付、客群留存、双方利润及品牌反应</x:v>
      </x:c>
      <x:c r="D13" s="22" t="str">
        <x:v>扩量／修改／停止决策</x:v>
      </x:c>
      <x:c r="E13" s="22" t="str">
        <x:v>缺少增量与损益证据时，不因热搜直接加库存</x:v>
      </x:c>
    </x:row>
    <x:row r="14" ht="76" customHeight="1">
      <x:c r="A14" s="22" t="str">
        <x:v>09</x:v>
      </x:c>
      <x:c r="B14" s="22" t="str">
        <x:v>结束与资产沉淀</x:v>
      </x:c>
      <x:c r="C14" s="22" t="str">
        <x:v>处理库存、许可到期、售后、内容使用及下一轮验证</x:v>
      </x:c>
      <x:c r="D14" s="22" t="str">
        <x:v>更新案例、可复用资产、退出完成记录</x:v>
      </x:c>
      <x:c r="E14" s="22" t="str">
        <x:v>合作停止与项目失败分别记录，追加后续结果而非覆盖历史</x:v>
      </x:c>
    </x:row>
    <x:row r="17" ht="28" customHeight="1">
      <x:c r="A17" s="26" t="str">
        <x:v>访谈题库｜用具体经历和可交付承诺代替泛泛的“喜欢／感兴趣”</x:v>
      </x:c>
      <x:c r="B17" s="26"/>
      <x:c r="C17" s="26"/>
      <x:c r="D17" s="26"/>
      <x:c r="E17" s="26"/>
    </x:row>
    <x:row r="19" ht="30" customHeight="1">
      <x:c r="A19" s="15" t="str">
        <x:v>对象</x:v>
      </x:c>
      <x:c r="B19" s="15" t="str">
        <x:v>访谈问题</x:v>
      </x:c>
      <x:c r="C19" s="15" t="str">
        <x:v>真正要核对的内容</x:v>
      </x:c>
      <x:c r="D19" s="15" t="str">
        <x:v>对应产出</x:v>
      </x:c>
    </x:row>
    <x:row r="20" ht="68" customHeight="1">
      <x:c r="A20" s="22" t="str">
        <x:v>品牌方</x:v>
      </x:c>
      <x:c r="B20" s="22" t="str">
        <x:v>这次只能实现一个目标，你选收入、拉新还是品牌认知？</x:v>
      </x:c>
      <x:c r="C20" s="22" t="str">
        <x:v>排序而不是所有目标都要</x:v>
      </x:c>
      <x:c r="D20" s="22" t="str">
        <x:v>主指标与次指标</x:v>
      </x:c>
    </x:row>
    <x:row r="21" ht="68" customHeight="1">
      <x:c r="A21" s="22" t="str">
        <x:v>品牌方</x:v>
      </x:c>
      <x:c r="B21" s="22" t="str">
        <x:v>为什么一定需要对方？自己做或换另一家会少什么？</x:v>
      </x:c>
      <x:c r="C21" s="22" t="str">
        <x:v>不可替代资源与机会成本</x:v>
      </x:c>
      <x:c r="D21" s="22" t="str">
        <x:v>独立开发基线</x:v>
      </x:c>
    </x:row>
    <x:row r="22" ht="68" customHeight="1">
      <x:c r="A22" s="22" t="str">
        <x:v>品牌方</x:v>
      </x:c>
      <x:c r="B22" s="22" t="str">
        <x:v>谁能批准预算、价格、设计、停卖和对外声明？</x:v>
      </x:c>
      <x:c r="C22" s="22" t="str">
        <x:v>真正决策人与流程长度</x:v>
      </x:c>
      <x:c r="D22" s="22" t="str">
        <x:v>审批责任表</x:v>
      </x:c>
    </x:row>
    <x:row r="23" ht="68" customHeight="1">
      <x:c r="A23" s="22" t="str">
        <x:v>品牌方</x:v>
      </x:c>
      <x:c r="B23" s="22" t="str">
        <x:v>哪些渠道、门店、IP、人物或数据确实可以开放？</x:v>
      </x:c>
      <x:c r="C23" s="22" t="str">
        <x:v>资源承诺与权利证明</x:v>
      </x:c>
      <x:c r="D23" s="22" t="str">
        <x:v>资源权属表</x:v>
      </x:c>
    </x:row>
    <x:row r="24" ht="68" customHeight="1">
      <x:c r="A24" s="22" t="str">
        <x:v>品牌方</x:v>
      </x:c>
      <x:c r="B24" s="22" t="str">
        <x:v>保守情况下卖不完，谁承担库存、退款、补偿和退出费用？</x:v>
      </x:c>
      <x:c r="C24" s="22" t="str">
        <x:v>下行情景与责任</x:v>
      </x:c>
      <x:c r="D24" s="22" t="str">
        <x:v>退出条款与现金上限</x:v>
      </x:c>
    </x:row>
    <x:row r="25" ht="68" customHeight="1">
      <x:c r="A25" s="22" t="str">
        <x:v>消费者</x:v>
      </x:c>
      <x:c r="B25" s="22" t="str">
        <x:v>最近一次购买这类商品是什么时候、多少钱、为什么？</x:v>
      </x:c>
      <x:c r="C25" s="22" t="str">
        <x:v>实际经历，而非假想偏好</x:v>
      </x:c>
      <x:c r="D25" s="22" t="str">
        <x:v>真实购买场景</x:v>
      </x:c>
    </x:row>
    <x:row r="26" ht="68" customHeight="1">
      <x:c r="A26" s="22" t="str">
        <x:v>消费者</x:v>
      </x:c>
      <x:c r="B26" s="22" t="str">
        <x:v>同价位你会买原产品、联名款还是都不买？为什么？</x:v>
      </x:c>
      <x:c r="C26" s="22" t="str">
        <x:v>价格控制下的选择</x:v>
      </x:c>
      <x:c r="D26" s="22" t="str">
        <x:v>拒购及替代原因</x:v>
      </x:c>
    </x:row>
    <x:row r="27" ht="68" customHeight="1">
      <x:c r="A27" s="22" t="str">
        <x:v>消费者</x:v>
      </x:c>
      <x:c r="B27" s="22" t="str">
        <x:v>去掉赠品或Logo，你还会买吗？</x:v>
      </x:c>
      <x:c r="C27" s="22" t="str">
        <x:v>功能需求与收藏需求的区别</x:v>
      </x:c>
      <x:c r="D27" s="22" t="str">
        <x:v>购买动机分层</x:v>
      </x:c>
    </x:row>
    <x:row r="28" ht="68" customHeight="1">
      <x:c r="A28" s="22" t="str">
        <x:v>消费者</x:v>
      </x:c>
      <x:c r="B28" s="22" t="str">
        <x:v>看到这个合作，你认为双方分别做了什么？</x:v>
      </x:c>
      <x:c r="C28" s="22" t="str">
        <x:v>是否误以为代言、研发或全权授权</x:v>
      </x:c>
      <x:c r="D28" s="22" t="str">
        <x:v>认知偏差</x:v>
      </x:c>
    </x:row>
    <x:row r="29" ht="68" customHeight="1">
      <x:c r="A29" s="22" t="str">
        <x:v>消费者</x:v>
      </x:c>
      <x:c r="B29" s="22" t="str">
        <x:v>第一次买完后，什么条件会让你再次购买？</x:v>
      </x:c>
      <x:c r="C29" s="22" t="str">
        <x:v>复购的实际条件与障碍</x:v>
      </x:c>
      <x:c r="D29" s="22" t="str">
        <x:v>留存假设</x:v>
      </x:c>
    </x:row>
    <x:row r="30" ht="68" customHeight="1">
      <x:c r="A30" s="22" t="str">
        <x:v>运营与供应商</x:v>
      </x:c>
      <x:c r="B30" s="22" t="str">
        <x:v>每个时段最多能完成多少单？赠品和主商品库存能同步吗？</x:v>
      </x:c>
      <x:c r="C30" s="22" t="str">
        <x:v>峰值而非日平均</x:v>
      </x:c>
      <x:c r="D30" s="22" t="str">
        <x:v>容量与限流</x:v>
      </x:c>
    </x:row>
    <x:row r="31" ht="68" customHeight="1">
      <x:c r="A31" s="22" t="str">
        <x:v>运营与供应商</x:v>
      </x:c>
      <x:c r="B31" s="22" t="str">
        <x:v>最小起订量、补货周期、保质期与报损如何？</x:v>
      </x:c>
      <x:c r="C31" s="22" t="str">
        <x:v>试错不可逆成本</x:v>
      </x:c>
      <x:c r="D31" s="22" t="str">
        <x:v>备货模型</x:v>
      </x:c>
    </x:row>
    <x:row r="32" ht="68" customHeight="1">
      <x:c r="A32" s="22" t="str">
        <x:v>运营与供应商</x:v>
      </x:c>
      <x:c r="B32" s="22" t="str">
        <x:v>延期、售罄、错发、质量问题分别如何补偿？</x:v>
      </x:c>
      <x:c r="C32" s="22" t="str">
        <x:v>售后责任可执行性</x:v>
      </x:c>
      <x:c r="D32" s="22" t="str">
        <x:v>客户补救流程</x:v>
      </x:c>
    </x:row>
    <x:row r="33" ht="68" customHeight="1">
      <x:c r="A33" s="22" t="str">
        <x:v>法务与财务</x:v>
      </x:c>
      <x:c r="B33" s="22" t="str">
        <x:v>授权是否覆盖这张图、这一品类、这一国家、这个媒体和期限？</x:v>
      </x:c>
      <x:c r="C33" s="22" t="str">
        <x:v>逐资产许可而非只看合作方名称</x:v>
      </x:c>
      <x:c r="D33" s="22" t="str">
        <x:v>素材授权台账</x:v>
      </x:c>
    </x:row>
    <x:row r="34" ht="68" customHeight="1">
      <x:c r="A34" s="22" t="str">
        <x:v>法务与财务</x:v>
      </x:c>
      <x:c r="B34" s="22" t="str">
        <x:v>版税按什么收入计提？保底能否抵扣？供货与授权如何区分？</x:v>
      </x:c>
      <x:c r="C34" s="22" t="str">
        <x:v>避免重复计费与收入成本口径不一致</x:v>
      </x:c>
      <x:c r="D34" s="22" t="str">
        <x:v>合同经济条款</x:v>
      </x:c>
    </x:row>
  </x:sheetData>
  <x:mergeCells>
    <x:mergeCell ref="A1:E1"/>
    <x:mergeCell ref="A2:E3"/>
    <x:mergeCell ref="A17:E17"/>
  </x:mergeCells>
  <x:pageMargins left="0.7" right="0.7" top="0.75" bottom="0.75" header="0.3" footer="0.3"/>
  <x:tableParts count="2">
    <x:tablePart xmlns:r="http://schemas.openxmlformats.org/officeDocument/2006/relationships" r:id="R85cb7f4096b44780"/>
    <x:tablePart xmlns:r="http://schemas.openxmlformats.org/officeDocument/2006/relationships" r:id="R430dd91ae3ff43b3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1" hidden="0" customWidth="1"/>
    <x:col min="3" max="3" width="13" hidden="0" customWidth="1"/>
    <x:col min="4" max="4" width="18" hidden="0" customWidth="1"/>
    <x:col min="5" max="5" width="13" hidden="0" customWidth="1"/>
    <x:col min="6" max="6" width="38" hidden="0" customWidth="1"/>
    <x:col min="7" max="7" width="18" hidden="0" customWidth="1"/>
    <x:col min="8" max="8" width="38" hidden="0" customWidth="1"/>
  </x:cols>
  <x:sheetData>
    <x:row r="1" ht="34" customHeight="1">
      <x:c r="A1" s="3" t="str">
        <x:v>合作评分卡｜先过硬门槛，再比较方案</x:v>
      </x:c>
      <x:c r="B1" s="3"/>
      <x:c r="C1" s="3"/>
      <x:c r="D1" s="3"/>
      <x:c r="E1" s="3"/>
      <x:c r="F1" s="3"/>
      <x:c r="G1" s="3"/>
      <x:c r="H1" s="3"/>
    </x:row>
    <x:row r="2" ht="22" customHeight="1">
      <x:c r="A2" s="8" t="str">
        <x:v>0—5分由调研负责人填写；权重、75/60分阈值与80%证据覆盖要求均为可编辑建议，不是行业标准或成功概率。缺证据不自动记零分。</x:v>
      </x:c>
      <x:c r="B2" s="8"/>
      <x:c r="C2" s="8"/>
      <x:c r="D2" s="8"/>
      <x:c r="E2" s="8"/>
      <x:c r="F2" s="8"/>
      <x:c r="G2" s="8"/>
      <x:c r="H2" s="8"/>
    </x:row>
    <x:row r="3" ht="22" customHeight="1">
      <x:c r="A3" s="8"/>
      <x:c r="B3" s="8"/>
      <x:c r="C3" s="8"/>
      <x:c r="D3" s="8"/>
      <x:c r="E3" s="8"/>
      <x:c r="F3" s="8"/>
      <x:c r="G3" s="8"/>
      <x:c r="H3" s="8"/>
    </x:row>
    <x:row r="4">
      <x:c r="A4" t="str">
        <x:v>品牌A</x:v>
      </x:c>
      <x:c r="B4"/>
      <x:c r="C4"/>
      <x:c r="D4" t="str">
        <x:v>品牌B</x:v>
      </x:c>
      <x:c r="E4"/>
      <x:c r="F4"/>
      <x:c r="G4" t="str">
        <x:v>评分负责人</x:v>
      </x:c>
      <x:c r="H4"/>
    </x:row>
    <x:row r="5" ht="30" customHeight="1">
      <x:c r="A5" s="15" t="str">
        <x:v>比较维度</x:v>
      </x:c>
      <x:c r="B5" s="15" t="str">
        <x:v>权重</x:v>
      </x:c>
      <x:c r="C5" s="15" t="str">
        <x:v>评分0—5</x:v>
      </x:c>
      <x:c r="D5" s="15" t="str">
        <x:v>证据状态</x:v>
      </x:c>
      <x:c r="E5" s="15" t="str">
        <x:v>加权分</x:v>
      </x:c>
      <x:c r="F5" s="15" t="str">
        <x:v>评分依据</x:v>
      </x:c>
      <x:c r="G5" s="15" t="str">
        <x:v>负责人</x:v>
      </x:c>
      <x:c r="H5" s="15" t="str">
        <x:v>下一步补证</x:v>
      </x:c>
    </x:row>
    <x:row r="6" ht="40" customHeight="1">
      <x:c r="A6" s="22" t="str">
        <x:v>双方目标与收益</x:v>
      </x:c>
      <x:c r="B6" s="28" t="n">
        <x:v>10</x:v>
      </x:c>
      <x:c r="C6" s="30"/>
      <x:c r="D6" s="28" t="str">
        <x:v>未验证</x:v>
      </x:c>
      <x:c r="E6" s="32" t="str">
        <x:f>IF(C6="","",B6*C6/5)</x:f>
      </x:c>
      <x:c r="F6" s="22"/>
      <x:c r="G6" s="22"/>
      <x:c r="H6" s="22"/>
    </x:row>
    <x:row r="7" ht="40" customHeight="1">
      <x:c r="A7" s="22" t="str">
        <x:v>真实消费需求</x:v>
      </x:c>
      <x:c r="B7" s="28" t="n">
        <x:v>12</x:v>
      </x:c>
      <x:c r="C7" s="30"/>
      <x:c r="D7" s="28" t="str">
        <x:v>未验证</x:v>
      </x:c>
      <x:c r="E7" s="32" t="str">
        <x:f>IF(C7="","",B7*C7/5)</x:f>
      </x:c>
      <x:c r="F7" s="22"/>
      <x:c r="G7" s="22"/>
      <x:c r="H7" s="22"/>
    </x:row>
    <x:row r="8" ht="40" customHeight="1">
      <x:c r="A8" s="22" t="str">
        <x:v>增量受众与可触达</x:v>
      </x:c>
      <x:c r="B8" s="28" t="n">
        <x:v>10</x:v>
      </x:c>
      <x:c r="C8" s="30"/>
      <x:c r="D8" s="28" t="str">
        <x:v>未验证</x:v>
      </x:c>
      <x:c r="E8" s="32" t="str">
        <x:f>IF(C8="","",B8*C8/5)</x:f>
      </x:c>
      <x:c r="F8" s="22"/>
      <x:c r="G8" s="22"/>
      <x:c r="H8" s="22"/>
    </x:row>
    <x:row r="9" ht="40" customHeight="1">
      <x:c r="A9" s="22" t="str">
        <x:v>品牌与叙事契合</x:v>
      </x:c>
      <x:c r="B9" s="28" t="n">
        <x:v>10</x:v>
      </x:c>
      <x:c r="C9" s="30"/>
      <x:c r="D9" s="28" t="str">
        <x:v>未验证</x:v>
      </x:c>
      <x:c r="E9" s="32" t="str">
        <x:f>IF(C9="","",B9*C9/5)</x:f>
      </x:c>
      <x:c r="F9" s="22"/>
      <x:c r="G9" s="22"/>
      <x:c r="H9" s="22"/>
    </x:row>
    <x:row r="10" ht="40" customHeight="1">
      <x:c r="A10" s="22" t="str">
        <x:v>资源与能力互补</x:v>
      </x:c>
      <x:c r="B10" s="28" t="n">
        <x:v>10</x:v>
      </x:c>
      <x:c r="C10" s="30"/>
      <x:c r="D10" s="28" t="str">
        <x:v>未验证</x:v>
      </x:c>
      <x:c r="E10" s="32" t="str">
        <x:f>IF(C10="","",B10*C10/5)</x:f>
      </x:c>
      <x:c r="F10" s="22"/>
      <x:c r="G10" s="22"/>
      <x:c r="H10" s="22"/>
    </x:row>
    <x:row r="11" ht="40" customHeight="1">
      <x:c r="A11" s="22" t="str">
        <x:v>产品与价格验证</x:v>
      </x:c>
      <x:c r="B11" s="28" t="n">
        <x:v>10</x:v>
      </x:c>
      <x:c r="C11" s="30"/>
      <x:c r="D11" s="28" t="str">
        <x:v>未验证</x:v>
      </x:c>
      <x:c r="E11" s="32" t="str">
        <x:f>IF(C11="","",B11*C11/5)</x:f>
      </x:c>
      <x:c r="F11" s="22"/>
      <x:c r="G11" s="22"/>
      <x:c r="H11" s="22"/>
    </x:row>
    <x:row r="12" ht="40" customHeight="1">
      <x:c r="A12" s="22" t="str">
        <x:v>渠道转化路径</x:v>
      </x:c>
      <x:c r="B12" s="28" t="n">
        <x:v>8</x:v>
      </x:c>
      <x:c r="C12" s="30"/>
      <x:c r="D12" s="28" t="str">
        <x:v>未验证</x:v>
      </x:c>
      <x:c r="E12" s="32" t="str">
        <x:f>IF(C12="","",B12*C12/5)</x:f>
      </x:c>
      <x:c r="F12" s="22"/>
      <x:c r="G12" s="22"/>
      <x:c r="H12" s="22"/>
    </x:row>
    <x:row r="13" ht="40" customHeight="1">
      <x:c r="A13" s="22" t="str">
        <x:v>运营与供应链</x:v>
      </x:c>
      <x:c r="B13" s="28" t="n">
        <x:v>8</x:v>
      </x:c>
      <x:c r="C13" s="30"/>
      <x:c r="D13" s="28" t="str">
        <x:v>未验证</x:v>
      </x:c>
      <x:c r="E13" s="32" t="str">
        <x:f>IF(C13="","",B13*C13/5)</x:f>
      </x:c>
      <x:c r="F13" s="22"/>
      <x:c r="G13" s="22"/>
      <x:c r="H13" s="22"/>
    </x:row>
    <x:row r="14" ht="40" customHeight="1">
      <x:c r="A14" s="22" t="str">
        <x:v>单位经济与现金</x:v>
      </x:c>
      <x:c r="B14" s="28" t="n">
        <x:v>10</x:v>
      </x:c>
      <x:c r="C14" s="30"/>
      <x:c r="D14" s="28" t="str">
        <x:v>未验证</x:v>
      </x:c>
      <x:c r="E14" s="32" t="str">
        <x:f>IF(C14="","",B14*C14/5)</x:f>
      </x:c>
      <x:c r="F14" s="22"/>
      <x:c r="G14" s="22"/>
      <x:c r="H14" s="22"/>
    </x:row>
    <x:row r="15" ht="40" customHeight="1">
      <x:c r="A15" s="22" t="str">
        <x:v>合作意愿与治理</x:v>
      </x:c>
      <x:c r="B15" s="28" t="n">
        <x:v>5</x:v>
      </x:c>
      <x:c r="C15" s="30"/>
      <x:c r="D15" s="28" t="str">
        <x:v>未验证</x:v>
      </x:c>
      <x:c r="E15" s="32" t="str">
        <x:f>IF(C15="","",B15*C15/5)</x:f>
      </x:c>
      <x:c r="F15" s="22"/>
      <x:c r="G15" s="22"/>
      <x:c r="H15" s="22"/>
    </x:row>
    <x:row r="16" ht="40" customHeight="1">
      <x:c r="A16" s="22" t="str">
        <x:v>效果可衡量</x:v>
      </x:c>
      <x:c r="B16" s="28" t="n">
        <x:v>4</x:v>
      </x:c>
      <x:c r="C16" s="30"/>
      <x:c r="D16" s="28" t="str">
        <x:v>未验证</x:v>
      </x:c>
      <x:c r="E16" s="32" t="str">
        <x:f>IF(C16="","",B16*C16/5)</x:f>
      </x:c>
      <x:c r="F16" s="22"/>
      <x:c r="G16" s="22"/>
      <x:c r="H16" s="22"/>
    </x:row>
    <x:row r="17" ht="40" customHeight="1">
      <x:c r="A17" s="22" t="str">
        <x:v>长期可复用资产</x:v>
      </x:c>
      <x:c r="B17" s="28" t="n">
        <x:v>3</x:v>
      </x:c>
      <x:c r="C17" s="30"/>
      <x:c r="D17" s="28" t="str">
        <x:v>未验证</x:v>
      </x:c>
      <x:c r="E17" s="32" t="str">
        <x:f>IF(C17="","",B17*C17/5)</x:f>
      </x:c>
      <x:c r="F17" s="22"/>
      <x:c r="G17" s="22"/>
      <x:c r="H17" s="22"/>
    </x:row>
    <x:row r="19">
      <x:c r="A19" s="6" t="str">
        <x:v>权重合计</x:v>
      </x:c>
      <x:c r="B19" s="6" t="n">
        <x:f>SUM(B6:B17)</x:f>
        <x:v>100</x:v>
      </x:c>
      <x:c r="C19" s="6" t="str">
        <x:v>总分（完整填写后）</x:v>
      </x:c>
      <x:c r="D19" s="6"/>
      <x:c r="E19" s="6" t="str">
        <x:f>IF(COUNT(C6:C17)&lt;COUNTA(A6:A17),"",SUM(E6:E17))</x:f>
      </x:c>
      <x:c r="F19" s="6"/>
      <x:c r="G19" s="6"/>
      <x:c r="H19" s="6"/>
    </x:row>
    <x:row r="20">
      <x:c r="A20" s="6" t="str">
        <x:v>已验证证据覆盖</x:v>
      </x:c>
      <x:c r="B20" s="36" t="n">
        <x:f>IF(SUM(B6:B17)=0,"",SUMIF(D6:D17,"已验证",B6:B17)/SUM(B6:B17))</x:f>
        <x:v>0</x:v>
      </x:c>
      <x:c r="C20" s="6" t="str">
        <x:v>按权重计，仅“已验证”计入；部分验证不计入覆盖。</x:v>
      </x:c>
      <x:c r="D20" s="6"/>
      <x:c r="E20" s="6"/>
      <x:c r="F20" s="6"/>
      <x:c r="G20" s="6"/>
      <x:c r="H20" s="6"/>
    </x:row>
    <x:row r="23" ht="28" customHeight="1">
      <x:c r="A23" s="26" t="str">
        <x:v>硬门槛｜任一不通过即暂停；待核验不可视为通过</x:v>
      </x:c>
      <x:c r="B23" s="26"/>
      <x:c r="C23" s="26"/>
      <x:c r="D23" s="26"/>
      <x:c r="E23" s="26"/>
      <x:c r="F23" s="26"/>
      <x:c r="G23" s="26"/>
      <x:c r="H23" s="26"/>
    </x:row>
    <x:row r="24" ht="38" customHeight="1">
      <x:c r="A24" s="38" t="str">
        <x:v>权利链与商业使用范围确认</x:v>
      </x:c>
      <x:c r="B24" s="38"/>
      <x:c r="C24" s="40" t="str">
        <x:v>待核验</x:v>
      </x:c>
      <x:c r="D24" s="38" t="str">
        <x:v>填写核验依据及审批人</x:v>
      </x:c>
      <x:c r="E24" s="38"/>
      <x:c r="F24" s="38"/>
      <x:c r="G24" s="38"/>
      <x:c r="H24" s="38"/>
    </x:row>
    <x:row r="25" ht="38" customHeight="1">
      <x:c r="A25" s="38" t="str">
        <x:v>产品安全及必要合规审核</x:v>
      </x:c>
      <x:c r="B25" s="38"/>
      <x:c r="C25" s="40" t="str">
        <x:v>待核验</x:v>
      </x:c>
      <x:c r="D25" s="38" t="str">
        <x:v>填写核验依据及审批人</x:v>
      </x:c>
      <x:c r="E25" s="38"/>
      <x:c r="F25" s="38"/>
      <x:c r="G25" s="38"/>
      <x:c r="H25" s="38"/>
    </x:row>
    <x:row r="26" ht="38" customHeight="1">
      <x:c r="A26" s="38" t="str">
        <x:v>预算、现金与损失上限确认</x:v>
      </x:c>
      <x:c r="B26" s="38"/>
      <x:c r="C26" s="40" t="str">
        <x:v>待核验</x:v>
      </x:c>
      <x:c r="D26" s="38" t="str">
        <x:v>填写核验依据及审批人</x:v>
      </x:c>
      <x:c r="E26" s="38"/>
      <x:c r="F26" s="38"/>
      <x:c r="G26" s="38"/>
      <x:c r="H26" s="38"/>
    </x:row>
    <x:row r="27" ht="38" customHeight="1">
      <x:c r="A27" s="38" t="str">
        <x:v>无不可接受的声誉或排他冲突</x:v>
      </x:c>
      <x:c r="B27" s="38"/>
      <x:c r="C27" s="40" t="str">
        <x:v>待核验</x:v>
      </x:c>
      <x:c r="D27" s="38" t="str">
        <x:v>填写核验依据及审批人</x:v>
      </x:c>
      <x:c r="E27" s="38"/>
      <x:c r="F27" s="38"/>
      <x:c r="G27" s="38"/>
      <x:c r="H27" s="38"/>
    </x:row>
    <x:row r="28" ht="38" customHeight="1">
      <x:c r="A28" s="38" t="str">
        <x:v>关键资源、负责人和档期确认</x:v>
      </x:c>
      <x:c r="B28" s="38"/>
      <x:c r="C28" s="40" t="str">
        <x:v>待核验</x:v>
      </x:c>
      <x:c r="D28" s="38" t="str">
        <x:v>填写核验依据及审批人</x:v>
      </x:c>
      <x:c r="E28" s="38"/>
      <x:c r="F28" s="38"/>
      <x:c r="G28" s="38"/>
      <x:c r="H28" s="38"/>
    </x:row>
    <x:row r="32">
      <x:c r="D32" s="38" t="str">
        <x:v>进入试点分数</x:v>
      </x:c>
      <x:c r="E32" s="43" t="n">
        <x:v>75</x:v>
      </x:c>
    </x:row>
    <x:row r="33">
      <x:c r="D33" s="38" t="str">
        <x:v>继续验证分数</x:v>
      </x:c>
      <x:c r="E33" s="43" t="n">
        <x:v>60</x:v>
      </x:c>
    </x:row>
    <x:row r="34">
      <x:c r="D34" s="38" t="str">
        <x:v>最低已验证覆盖</x:v>
      </x:c>
      <x:c r="E34" s="46" t="n">
        <x:v>0.8</x:v>
      </x:c>
    </x:row>
    <x:row r="36" ht="26" customHeight="1">
      <x:c r="A36" s="49" t="str">
        <x:f>IF(COUNTIF(C24:C28,"不通过")&gt;0,"建议：暂停，先解决未通过硬门槛",IF(COUNTIF(C24:C28,"通过")&lt;COUNTA(A24:A28),"建议：待补齐硬门槛核验",IF(B19&lt;&gt;100,"提示：权重合计需为100",IF(COUNT(C6:C17)&lt;COUNTA(A6:A17),"建议：待补齐评分",IF(B20&lt;E34,"建议：先补证据",IF(E19&gt;=E32,"建议：进入受控试点，不代表可直接全国铺开",IF(E19&gt;=E33,"建议：继续验证或修改方案","建议：重新评估方案或更换合作方")))))))</x:f>
        <x:v>建议：待补齐硬门槛核验</x:v>
      </x:c>
      <x:c r="B36" s="49"/>
      <x:c r="C36" s="49"/>
      <x:c r="D36" s="49"/>
      <x:c r="E36" s="49"/>
      <x:c r="F36" s="49"/>
      <x:c r="G36" s="49"/>
      <x:c r="H36" s="49"/>
    </x:row>
    <x:row r="37" ht="26" customHeight="1">
      <x:c r="A37" s="49"/>
      <x:c r="B37" s="49"/>
      <x:c r="C37" s="49"/>
      <x:c r="D37" s="49"/>
      <x:c r="E37" s="49"/>
      <x:c r="F37" s="49"/>
      <x:c r="G37" s="49"/>
      <x:c r="H37" s="49"/>
    </x:row>
  </x:sheetData>
  <x:mergeCells>
    <x:mergeCell ref="A1:H1"/>
    <x:mergeCell ref="A2:H3"/>
    <x:mergeCell ref="C19:D19"/>
    <x:mergeCell ref="C20:H20"/>
    <x:mergeCell ref="A23:H23"/>
    <x:mergeCell ref="A24:B24"/>
    <x:mergeCell ref="D24:H24"/>
    <x:mergeCell ref="A25:B25"/>
    <x:mergeCell ref="D25:H25"/>
    <x:mergeCell ref="A26:B26"/>
    <x:mergeCell ref="D26:H26"/>
    <x:mergeCell ref="A27:B27"/>
    <x:mergeCell ref="D27:H27"/>
    <x:mergeCell ref="A28:B28"/>
    <x:mergeCell ref="D28:H28"/>
    <x:mergeCell ref="A36:H37"/>
  </x:mergeCells>
  <x:conditionalFormatting sqref="C24:C28">
    <x:cfRule type="expression" dxfId="5" priority="1">
      <x:formula>C24="不通过"</x:formula>
    </x:cfRule>
  </x:conditionalFormatting>
  <x:dataValidations count="3">
    <x:dataValidation type="list" sqref="C6:C17">
      <x:formula1>"0,1,2,3,4,5"</x:formula1>
    </x:dataValidation>
    <x:dataValidation type="list" sqref="D6:D17">
      <x:formula1>"已验证,部分验证,未验证"</x:formula1>
    </x:dataValidation>
    <x:dataValidation type="list" sqref="C24:C28">
      <x:formula1>"通过,不通过,待核验"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a91d07713ec4e54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37" hidden="0" customWidth="1"/>
    <x:col min="2" max="2" width="10" hidden="0" customWidth="1"/>
    <x:col min="3" max="3" width="19" hidden="0" customWidth="1"/>
    <x:col min="4" max="4" width="19" hidden="0" customWidth="1"/>
    <x:col min="5" max="5" width="26" hidden="0" customWidth="1"/>
    <x:col min="6" max="6" width="72" hidden="0" customWidth="1"/>
  </x:cols>
  <x:sheetData>
    <x:row r="1" ht="34" customHeight="1">
      <x:c r="A1" s="3" t="str">
        <x:v>双边经济账｜A赚钱，不代表B也赚钱</x:v>
      </x:c>
      <x:c r="B1" s="3"/>
      <x:c r="C1" s="3"/>
      <x:c r="D1" s="3"/>
      <x:c r="E1" s="3"/>
      <x:c r="F1" s="3"/>
    </x:row>
    <x:row r="2" ht="22" customHeight="1">
      <x:c r="A2" s="8" t="str">
        <x:v>空白代表未知；没有费用时填0。以下统一用人民币元，可整体改为同一币种。内部供货、授权或服务收费在两边对应填列，项目合计需抵销，不能重复算收入。</x:v>
      </x:c>
      <x:c r="B2" s="8"/>
      <x:c r="C2" s="8"/>
      <x:c r="D2" s="8"/>
      <x:c r="E2" s="8"/>
      <x:c r="F2" s="8"/>
    </x:row>
    <x:row r="3" ht="22" customHeight="1">
      <x:c r="A3" s="8"/>
      <x:c r="B3" s="8"/>
      <x:c r="C3" s="8"/>
      <x:c r="D3" s="8"/>
      <x:c r="E3" s="8"/>
      <x:c r="F3" s="8"/>
    </x:row>
    <x:row r="5" ht="30" customHeight="1">
      <x:c r="A5" s="15" t="str">
        <x:v>项目</x:v>
      </x:c>
      <x:c r="B5" s="15" t="str">
        <x:v>单位</x:v>
      </x:c>
      <x:c r="C5" s="15" t="str">
        <x:v>品牌A</x:v>
      </x:c>
      <x:c r="D5" s="15" t="str">
        <x:v>品牌B</x:v>
      </x:c>
      <x:c r="E5" s="15" t="str">
        <x:v>项目合计/抵销后</x:v>
      </x:c>
      <x:c r="F5" s="15" t="str">
        <x:v>定义与输入依据</x:v>
      </x:c>
    </x:row>
    <x:row r="6" ht="42" customHeight="1">
      <x:c r="A6" s="22" t="str">
        <x:v>对外净收入</x:v>
      </x:c>
      <x:c r="B6" s="22" t="str">
        <x:v>元</x:v>
      </x:c>
      <x:c r="C6" s="54"/>
      <x:c r="D6" s="54"/>
      <x:c r="E6" s="55" t="str">
        <x:f>IF(COUNT(C6:D6)&lt;2,"",SUM(C6:D6))</x:f>
      </x:c>
      <x:c r="F6" s="22" t="str">
        <x:v>扣除折扣、退款本金及相关税额后的外部收入；注明期间与渠道。</x:v>
      </x:c>
    </x:row>
    <x:row r="7" ht="42" customHeight="1">
      <x:c r="A7" s="22" t="str">
        <x:v>向另一方收费收入</x:v>
      </x:c>
      <x:c r="B7" s="22" t="str">
        <x:v>元</x:v>
      </x:c>
      <x:c r="C7" s="54"/>
      <x:c r="D7" s="54"/>
      <x:c r="E7" s="55" t="str">
        <x:f>IF(COUNT(C7:D7)&lt;2,"",0)</x:f>
      </x:c>
      <x:c r="F7" s="22" t="str">
        <x:v>内部供货、授权、服务等；应与对方付款对应。</x:v>
      </x:c>
    </x:row>
    <x:row r="8" ht="42" customHeight="1">
      <x:c r="A8" s="62" t="str">
        <x:v>收入小计</x:v>
      </x:c>
      <x:c r="B8" s="62" t="str">
        <x:v>元</x:v>
      </x:c>
      <x:c r="C8" s="63" t="str">
        <x:f>IF(COUNT(C6:C7)&lt;2,"",SUM(C6:C7))</x:f>
      </x:c>
      <x:c r="D8" s="63" t="str">
        <x:f>IF(COUNT(D6:D7)&lt;2,"",SUM(D6:D7))</x:f>
      </x:c>
      <x:c r="E8" s="63" t="str">
        <x:f>IF(E6="","",E6)</x:f>
      </x:c>
      <x:c r="F8" s="62" t="str">
        <x:v>项目合计仅保留对外净收入，内部收入抵销。</x:v>
      </x:c>
    </x:row>
    <x:row r="9" ht="42" customHeight="1">
      <x:c r="A9" s="22" t="str">
        <x:v>成本与机会成本</x:v>
      </x:c>
      <x:c r="B9" s="22" t="str"/>
      <x:c r="C9" s="55"/>
      <x:c r="D9" s="55"/>
      <x:c r="E9" s="55"/>
      <x:c r="F9" s="22" t="str">
        <x:v>只填本项目新增或可归因成本，不把历史沉没成本全摊进来。</x:v>
      </x:c>
    </x:row>
    <x:row r="10" ht="42" customHeight="1">
      <x:c r="A10" s="22" t="str">
        <x:v>外部产品与履约变动成本</x:v>
      </x:c>
      <x:c r="B10" s="22" t="str">
        <x:v>元</x:v>
      </x:c>
      <x:c r="C10" s="54"/>
      <x:c r="D10" s="54"/>
      <x:c r="E10" s="55" t="str">
        <x:f>IF(COUNT(C10:D10)&lt;2,"",SUM(C10:D10))</x:f>
      </x:c>
      <x:c r="F10" s="22" t="str">
        <x:v>向项目以外供应商付款；对合作方采购请列下一行。</x:v>
      </x:c>
    </x:row>
    <x:row r="11" ht="42" customHeight="1">
      <x:c r="A11" s="22" t="str">
        <x:v>支付另一方费用</x:v>
      </x:c>
      <x:c r="B11" s="22" t="str">
        <x:v>元</x:v>
      </x:c>
      <x:c r="C11" s="54"/>
      <x:c r="D11" s="54"/>
      <x:c r="E11" s="55" t="str">
        <x:f>IF(COUNT(C11:D11)&lt;2,"",0)</x:f>
      </x:c>
      <x:c r="F11" s="22" t="str">
        <x:v>与另一方向本方的收费收入匹配；项目层面抵销。</x:v>
      </x:c>
    </x:row>
    <x:row r="12" ht="42" customHeight="1">
      <x:c r="A12" s="22" t="str">
        <x:v>外部研发/制作/设计固定成本</x:v>
      </x:c>
      <x:c r="B12" s="22" t="str">
        <x:v>元</x:v>
      </x:c>
      <x:c r="C12" s="54"/>
      <x:c r="D12" s="54"/>
      <x:c r="E12" s="55" t="str">
        <x:f>IF(COUNT(C12:D12)&lt;2,"",SUM(C12:D12))</x:f>
      </x:c>
      <x:c r="F12" s="22" t="str">
        <x:v>包含新增设计、开模、测试等，附实际报价。</x:v>
      </x:c>
    </x:row>
    <x:row r="13" ht="42" customHeight="1">
      <x:c r="A13" s="22" t="str">
        <x:v>外部投放/活动/渠道固定成本</x:v>
      </x:c>
      <x:c r="B13" s="22" t="str">
        <x:v>元</x:v>
      </x:c>
      <x:c r="C13" s="54"/>
      <x:c r="D13" s="54"/>
      <x:c r="E13" s="55" t="str">
        <x:f>IF(COUNT(C13:D13)&lt;2,"",SUM(C13:D13))</x:f>
      </x:c>
      <x:c r="F13" s="22" t="str">
        <x:v>只填未在其他成本行出现的费用。</x:v>
      </x:c>
    </x:row>
    <x:row r="14" ht="42" customHeight="1">
      <x:c r="A14" s="22" t="str">
        <x:v>外部客服/赔付/报损</x:v>
      </x:c>
      <x:c r="B14" s="22" t="str">
        <x:v>元</x:v>
      </x:c>
      <x:c r="C14" s="54"/>
      <x:c r="D14" s="54"/>
      <x:c r="E14" s="55" t="str">
        <x:f>IF(COUNT(C14:D14)&lt;2,"",SUM(C14:D14))</x:f>
      </x:c>
      <x:c r="F14" s="22" t="str">
        <x:v>退款本金已在净收入扣除，不再重复；这里填相关额外损失。</x:v>
      </x:c>
    </x:row>
    <x:row r="15" ht="42" customHeight="1">
      <x:c r="A15" s="22" t="str">
        <x:v>其他增量外部成本</x:v>
      </x:c>
      <x:c r="B15" s="22" t="str">
        <x:v>元</x:v>
      </x:c>
      <x:c r="C15" s="54"/>
      <x:c r="D15" s="54"/>
      <x:c r="E15" s="55" t="str">
        <x:f>IF(COUNT(C15:D15)&lt;2,"",SUM(C15:D15))</x:f>
      </x:c>
      <x:c r="F15" s="22" t="str">
        <x:v>人员加班、额外系统或仓储等，避免重复。</x:v>
      </x:c>
    </x:row>
    <x:row r="16" ht="42" customHeight="1">
      <x:c r="A16" s="22" t="str">
        <x:v>被替代原业务贡献利润</x:v>
      </x:c>
      <x:c r="B16" s="22" t="str">
        <x:v>元</x:v>
      </x:c>
      <x:c r="C16" s="54"/>
      <x:c r="D16" s="54"/>
      <x:c r="E16" s="55" t="str">
        <x:f>IF(COUNT(C16:D16)&lt;2,"",SUM(C16:D16))</x:f>
      </x:c>
      <x:c r="F16" s="22" t="str">
        <x:v>估算没有联名时本可取得、现被挤占的贡献利润；写清基线。</x:v>
      </x:c>
    </x:row>
    <x:row r="17" ht="42" customHeight="1">
      <x:c r="A17" s="62" t="str">
        <x:v>成本与机会成本合计</x:v>
      </x:c>
      <x:c r="B17" s="62" t="str">
        <x:v>元</x:v>
      </x:c>
      <x:c r="C17" s="63" t="str">
        <x:f>IF(COUNT(C10:C16)&lt;7,"",SUM(C10:C16))</x:f>
      </x:c>
      <x:c r="D17" s="63" t="str">
        <x:f>IF(COUNT(D10:D16)&lt;7,"",SUM(D10:D16))</x:f>
      </x:c>
      <x:c r="E17" s="63" t="str">
        <x:f>IF(COUNT(E10:E16)&lt;7,"",SUM(E10:E16))</x:f>
      </x:c>
      <x:c r="F17" s="62" t="str">
        <x:v>品牌端含内部支付；项目端不含内部支付。</x:v>
      </x:c>
    </x:row>
    <x:row r="18" ht="42" customHeight="1">
      <x:c r="A18" s="22" t="str"/>
      <x:c r="B18" s="22" t="str"/>
      <x:c r="C18" s="55"/>
      <x:c r="D18" s="55"/>
      <x:c r="E18" s="55"/>
      <x:c r="F18" s="22" t="str"/>
    </x:row>
    <x:row r="19" ht="42" customHeight="1">
      <x:c r="A19" s="62" t="str">
        <x:v>增量贡献利润</x:v>
      </x:c>
      <x:c r="B19" s="62" t="str">
        <x:v>元</x:v>
      </x:c>
      <x:c r="C19" s="63" t="str">
        <x:f>IF(COUNT(C8,C17)&lt;2,"",C8-C17)</x:f>
      </x:c>
      <x:c r="D19" s="63" t="str">
        <x:f>IF(COUNT(D8,D17)&lt;2,"",D8-D17)</x:f>
      </x:c>
      <x:c r="E19" s="63" t="str">
        <x:f>IF(COUNT(E8,E17)&lt;2,"",E8-E17)</x:f>
      </x:c>
      <x:c r="F19" s="62" t="str">
        <x:v>对外及内部收入－新增成本－原业务被替代贡献。</x:v>
      </x:c>
    </x:row>
    <x:row r="20" ht="42" customHeight="1">
      <x:c r="A20" s="22" t="str">
        <x:v>资金峰值占用</x:v>
      </x:c>
      <x:c r="B20" s="22" t="str">
        <x:v>元</x:v>
      </x:c>
      <x:c r="C20" s="54"/>
      <x:c r="D20" s="54"/>
      <x:c r="E20" s="55"/>
      <x:c r="F20" s="22" t="str">
        <x:v>需按付款/回款日历估算；两方峰值不一定同日，不能简单相加。</x:v>
      </x:c>
    </x:row>
    <x:row r="21" ht="42" customHeight="1">
      <x:c r="A21" s="22" t="str">
        <x:v>批准的最大可承受亏损</x:v>
      </x:c>
      <x:c r="B21" s="22" t="str">
        <x:v>元</x:v>
      </x:c>
      <x:c r="C21" s="54"/>
      <x:c r="D21" s="54"/>
      <x:c r="E21" s="55"/>
      <x:c r="F21" s="22" t="str">
        <x:v>预算审批输入，不是历史事实。</x:v>
      </x:c>
    </x:row>
    <x:row r="24">
      <x:c r="A24" t="str">
        <x:v>双方内部收费收入合计</x:v>
      </x:c>
      <x:c r="B24" t="str">
        <x:v>元</x:v>
      </x:c>
      <x:c r="E24" s="66" t="str">
        <x:f>IF(COUNT(C7:D7)&lt;2,"",SUM(C7:D7))</x:f>
      </x:c>
    </x:row>
    <x:row r="25">
      <x:c r="A25" t="str">
        <x:v>双方内部支付费用合计</x:v>
      </x:c>
      <x:c r="B25" t="str">
        <x:v>元</x:v>
      </x:c>
      <x:c r="E25" s="66" t="str">
        <x:f>IF(COUNT(C11:D11)&lt;2,"",SUM(C11:D11))</x:f>
      </x:c>
    </x:row>
    <x:row r="26">
      <x:c r="A26" t="str">
        <x:v>内部往来差额（应为0）</x:v>
      </x:c>
      <x:c r="B26" t="str">
        <x:v>元</x:v>
      </x:c>
      <x:c r="E26" s="66" t="str">
        <x:f>IF(COUNT(E24:E25)&lt;2,"",E24-E25)</x:f>
      </x:c>
      <x:c r="F26" s="38" t="str">
        <x:v>差额不为0时先核对，不能直接把两边利润相加作项目结论。</x:v>
      </x:c>
    </x:row>
    <x:row r="29" ht="26" customHeight="1">
      <x:c r="A29" s="69" t="str">
        <x:v>单品试点三情景｜固定成本与单位变动成本不得重复计入；若最低保底可抵扣版税，要按合同的较大者或补差结构处理，不能一律相加。多SKU、阶梯物流与销量相关固定投入需另建详细模型。</x:v>
      </x:c>
      <x:c r="B29" s="69"/>
      <x:c r="C29" s="69"/>
      <x:c r="D29" s="69"/>
      <x:c r="E29" s="69"/>
      <x:c r="F29" s="69"/>
    </x:row>
    <x:row r="30" ht="26" customHeight="1">
      <x:c r="A30" s="69"/>
      <x:c r="B30" s="69"/>
      <x:c r="C30" s="69"/>
      <x:c r="D30" s="69"/>
      <x:c r="E30" s="69"/>
      <x:c r="F30" s="69"/>
    </x:row>
    <x:row r="33" ht="28" customHeight="1">
      <x:c r="A33" s="13" t="str">
        <x:v>项目</x:v>
      </x:c>
      <x:c r="B33" s="13" t="str">
        <x:v>单位</x:v>
      </x:c>
      <x:c r="C33" s="13" t="str">
        <x:v>保守</x:v>
      </x:c>
      <x:c r="D33" s="13" t="str">
        <x:v>基准</x:v>
      </x:c>
      <x:c r="E33" s="13" t="str">
        <x:v>乐观</x:v>
      </x:c>
      <x:c r="F33" s="13" t="str">
        <x:v>说明</x:v>
      </x:c>
    </x:row>
    <x:row r="34" ht="46" customHeight="1">
      <x:c r="A34" s="38" t="str">
        <x:v>每单位净收入</x:v>
      </x:c>
      <x:c r="B34" s="38" t="str">
        <x:v>元/单位</x:v>
      </x:c>
      <x:c r="C34" s="74"/>
      <x:c r="D34" s="74"/>
      <x:c r="E34" s="74"/>
      <x:c r="F34" s="38" t="str">
        <x:v>使用实际净成交价；注明试点经营主体与观察期。</x:v>
      </x:c>
    </x:row>
    <x:row r="35" ht="46" customHeight="1">
      <x:c r="A35" s="38" t="str">
        <x:v>每单位变动成本</x:v>
      </x:c>
      <x:c r="B35" s="38" t="str">
        <x:v>元/单位</x:v>
      </x:c>
      <x:c r="C35" s="74"/>
      <x:c r="D35" s="74"/>
      <x:c r="E35" s="74"/>
      <x:c r="F35" s="38" t="str">
        <x:v>包含生产、变动履约与适用变动授权费；与固定成本不重复。</x:v>
      </x:c>
    </x:row>
    <x:row r="36" ht="46" customHeight="1">
      <x:c r="A36" s="38" t="str">
        <x:v>每单位贡献</x:v>
      </x:c>
      <x:c r="B36" s="38" t="str">
        <x:v>元/单位</x:v>
      </x:c>
      <x:c r="C36" s="75" t="str">
        <x:f>IF(COUNT(C34:C35)&lt;2,"",C34-C35)</x:f>
      </x:c>
      <x:c r="D36" s="75" t="str">
        <x:f>IF(COUNT(D34:D35)&lt;2,"",D34-D35)</x:f>
      </x:c>
      <x:c r="E36" s="75" t="str">
        <x:f>IF(COUNT(E34:E35)&lt;2,"",E34-E35)</x:f>
      </x:c>
      <x:c r="F36" s="38" t="str">
        <x:v>单位净收入－单位变动成本。</x:v>
      </x:c>
    </x:row>
    <x:row r="37" ht="46" customHeight="1">
      <x:c r="A37" s="38" t="str">
        <x:v>固定增量成本及机会成本</x:v>
      </x:c>
      <x:c r="B37" s="38" t="str">
        <x:v>元</x:v>
      </x:c>
      <x:c r="C37" s="74"/>
      <x:c r="D37" s="74"/>
      <x:c r="E37" s="74"/>
      <x:c r="F37" s="38" t="str">
        <x:v>本试点需承担的固定成本及被替代的原业务贡献。</x:v>
      </x:c>
    </x:row>
    <x:row r="38" ht="46" customHeight="1">
      <x:c r="A38" s="38" t="str">
        <x:v>预计售出数量</x:v>
      </x:c>
      <x:c r="B38" s="38" t="str">
        <x:v>单位</x:v>
      </x:c>
      <x:c r="C38" s="74"/>
      <x:c r="D38" s="74"/>
      <x:c r="E38" s="74"/>
      <x:c r="F38" s="38" t="str">
        <x:v>不是生产数量；三种情景的销量假设需要依据。</x:v>
      </x:c>
    </x:row>
    <x:row r="39" ht="46" customHeight="1">
      <x:c r="A39" s="38" t="str">
        <x:v>盈亏平衡销量</x:v>
      </x:c>
      <x:c r="B39" s="38" t="str">
        <x:v>单位</x:v>
      </x:c>
      <x:c r="C39" s="75" t="str">
        <x:f>IF(COUNT(C36:C37)&lt;2,"",IF(C36&lt;=0,"不可达",ROUNDUP(C37/C36,0)))</x:f>
      </x:c>
      <x:c r="D39" s="75" t="str">
        <x:f>IF(COUNT(D36:D37)&lt;2,"",IF(D36&lt;=0,"不可达",ROUNDUP(D37/D36,0)))</x:f>
      </x:c>
      <x:c r="E39" s="75" t="str">
        <x:f>IF(COUNT(E36:E37)&lt;2,"",IF(E36&lt;=0,"不可达",ROUNDUP(E37/E36,0)))</x:f>
      </x:c>
      <x:c r="F39" s="38" t="str">
        <x:v>只有单位贡献大于0时才可用固定成本÷单位贡献。</x:v>
      </x:c>
    </x:row>
    <x:row r="40" ht="46" customHeight="1">
      <x:c r="A40" s="38" t="str">
        <x:v>预计增量贡献</x:v>
      </x:c>
      <x:c r="B40" s="38" t="str">
        <x:v>元</x:v>
      </x:c>
      <x:c r="C40" s="75" t="str">
        <x:f>IF(COUNT(C36:C38)&lt;3,"",C36*C38-C37)</x:f>
      </x:c>
      <x:c r="D40" s="75" t="str">
        <x:f>IF(COUNT(D36:D38)&lt;3,"",D36*D38-D37)</x:f>
      </x:c>
      <x:c r="E40" s="75" t="str">
        <x:f>IF(COUNT(E36:E38)&lt;3,"",E36*E38-E37)</x:f>
      </x:c>
      <x:c r="F40" s="38" t="str">
        <x:v>单位贡献×销量－固定增量成本及机会成本。</x:v>
      </x:c>
    </x:row>
  </x:sheetData>
  <x:mergeCells>
    <x:mergeCell ref="A1:F1"/>
    <x:mergeCell ref="A2:F3"/>
    <x:mergeCell ref="A29:F30"/>
  </x:mergeCells>
  <x:conditionalFormatting sqref="E26:E26">
    <x:cfRule type="expression" dxfId="6" priority="1">
      <x:formula>AND(ISNUMBER(E26),E26&lt;&gt;0)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aa17144885146a3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54" hidden="0" customWidth="1"/>
    <x:col min="3" max="3" width="42" hidden="0" customWidth="1"/>
    <x:col min="4" max="4" width="35" hidden="0" customWidth="1"/>
    <x:col min="5" max="5" width="45" hidden="0" customWidth="1"/>
    <x:col min="6" max="6" width="45" hidden="0" customWidth="1"/>
  </x:cols>
  <x:sheetData>
    <x:row r="1" ht="34" customHeight="1">
      <x:c r="A1" s="3" t="str">
        <x:v>持续研究库｜字段与证据规则</x:v>
      </x:c>
      <x:c r="B1" s="3"/>
      <x:c r="C1" s="3"/>
      <x:c r="D1" s="3"/>
      <x:c r="E1" s="3"/>
      <x:c r="F1" s="3"/>
    </x:row>
    <x:row r="2" ht="22" customHeight="1">
      <x:c r="A2" s="8" t="str">
        <x:v>建议把品牌、项目、参与方、产物、结果指标、来源拆开存储。每个数据都应绑定时间、地区、单位和来源；不把本案例集当作有代表性的统计样本。</x:v>
      </x:c>
      <x:c r="B2" s="8"/>
      <x:c r="C2" s="8"/>
      <x:c r="D2" s="8"/>
      <x:c r="E2" s="8"/>
      <x:c r="F2" s="8"/>
    </x:row>
    <x:row r="3" ht="22" customHeight="1">
      <x:c r="A3" s="8"/>
      <x:c r="B3" s="8"/>
      <x:c r="C3" s="8"/>
      <x:c r="D3" s="8"/>
      <x:c r="E3" s="8"/>
      <x:c r="F3" s="8"/>
    </x:row>
    <x:row r="5" ht="30" customHeight="1">
      <x:c r="A5" s="15" t="str">
        <x:v>实体</x:v>
      </x:c>
      <x:c r="B5" s="15" t="str">
        <x:v>关键字段</x:v>
      </x:c>
      <x:c r="C5" s="15" t="str">
        <x:v>入库要求</x:v>
      </x:c>
      <x:c r="D5" s="15" t="str">
        <x:v>证据来源</x:v>
      </x:c>
      <x:c r="E5" s="15" t="str">
        <x:v>限制</x:v>
      </x:c>
      <x:c r="F5" s="15" t="str">
        <x:v>常见错误</x:v>
      </x:c>
    </x:row>
    <x:row r="6" ht="100" customHeight="1">
      <x:c r="A6" s="22" t="str">
        <x:v>品牌表</x:v>
      </x:c>
      <x:c r="B6" s="22" t="str">
        <x:v>brand_id；名称；品类；定位；目标市场；价格带；受众；可用资源</x:v>
      </x:c>
      <x:c r="C6" s="22" t="str">
        <x:v>只记录有依据的品牌事实与已确认可用资源</x:v>
      </x:c>
      <x:c r="D6" s="22" t="str">
        <x:v>来源及更新时间</x:v>
      </x:c>
      <x:c r="E6" s="22" t="str">
        <x:v>预算、意愿、内部资源需品牌方补证</x:v>
      </x:c>
      <x:c r="F6" s="22" t="str">
        <x:v>品牌数量不等于合作可行性</x:v>
      </x:c>
    </x:row>
    <x:row r="7" ht="100" customHeight="1">
      <x:c r="A7" s="22" t="str">
        <x:v>合作项目表</x:v>
      </x:c>
      <x:c r="B7" s="22" t="str">
        <x:v>project_id；名称；目标；时间；地区；状态；合作类型</x:v>
      </x:c>
      <x:c r="C7" s="22" t="str">
        <x:v>一个项目可以多方参与、分多个阶段</x:v>
      </x:c>
      <x:c r="D7" s="22" t="str">
        <x:v>品牌官方公布＋合同或项目负责人</x:v>
      </x:c>
      <x:c r="E7" s="22" t="str">
        <x:v>独立品牌联名、IP授权、同集团、渠道联盟分开</x:v>
      </x:c>
      <x:c r="F7" s="22" t="str">
        <x:v>合作宣布≠实际上市≠产生效果</x:v>
      </x:c>
    </x:row>
    <x:row r="8" ht="100" customHeight="1">
      <x:c r="A8" s="22" t="str">
        <x:v>参与方表</x:v>
      </x:c>
      <x:c r="B8" s="22" t="str">
        <x:v>project_id；brand_id；角色；投入；收益；审批；限制</x:v>
      </x:c>
      <x:c r="C8" s="22" t="str">
        <x:v>支持双边或多边，不把三方硬拆成互不相关项目</x:v>
      </x:c>
      <x:c r="D8" s="22" t="str">
        <x:v>书面资源确认与合同</x:v>
      </x:c>
      <x:c r="E8" s="22" t="str">
        <x:v>每一方都需要收益和责任视角</x:v>
      </x:c>
      <x:c r="F8" s="22" t="str">
        <x:v>双方总分高不代表第三方愿意参与</x:v>
      </x:c>
    </x:row>
    <x:row r="9" ht="100" customHeight="1">
      <x:c r="A9" s="22" t="str">
        <x:v>产物表</x:v>
      </x:c>
      <x:c r="B9" s="22" t="str">
        <x:v>artifact_id；project_id；SKU/体验/内容/权益；规格；图片来源</x:v>
      </x:c>
      <x:c r="C9" s="22" t="str">
        <x:v>原型、宣传道具、赠品、真实售品分别标记</x:v>
      </x:c>
      <x:c r="D9" s="22" t="str">
        <x:v>官方商品页、发布图与实物</x:v>
      </x:c>
      <x:c r="E9" s="22" t="str">
        <x:v>图像能证明外观，不能自动证明销量或权利</x:v>
      </x:c>
      <x:c r="F9" s="22" t="str">
        <x:v>同一营销档期其他玩具不能误归入某艺术联名</x:v>
      </x:c>
    </x:row>
    <x:row r="10" ht="100" customHeight="1">
      <x:c r="A10" s="22" t="str">
        <x:v>结果指标表</x:v>
      </x:c>
      <x:c r="B10" s="22" t="str">
        <x:v>metric；value；unit；region；start/end；denominator；source</x:v>
      </x:c>
      <x:c r="C10" s="22" t="str">
        <x:v>销量、销售额、利润、售罄、触达、复购各自独立</x:v>
      </x:c>
      <x:c r="D10" s="22" t="str">
        <x:v>财报/品牌数据/独立报道；注明原始披露方</x:v>
      </x:c>
      <x:c r="E10" s="22" t="str">
        <x:v>媒体目标数、预测数、实际数不得混淆</x:v>
      </x:c>
      <x:c r="F10" s="22" t="str">
        <x:v>售罄要首批分母；出货≠零售；GMV≠利润</x:v>
      </x:c>
    </x:row>
    <x:row r="11" ht="100" customHeight="1">
      <x:c r="A11" s="22" t="str">
        <x:v>证据来源表</x:v>
      </x:c>
      <x:c r="B11" s="22" t="str">
        <x:v>source_id；URL；发布方；日期；支持哪条结论；可信度</x:v>
      </x:c>
      <x:c r="C11" s="22" t="str">
        <x:v>事实摘记与研究者推论分栏</x:v>
      </x:c>
      <x:c r="D11" s="22" t="str">
        <x:v>优先原始文件，再交叉核对</x:v>
      </x:c>
      <x:c r="E11" s="22" t="str">
        <x:v>新闻稿转载不算独立交叉验证</x:v>
      </x:c>
      <x:c r="F11" s="22" t="str">
        <x:v>品牌自述可能真实但并非审计</x:v>
      </x:c>
    </x:row>
    <x:row r="12" ht="100" customHeight="1">
      <x:c r="A12" s="22" t="str">
        <x:v>风险事件表</x:v>
      </x:c>
      <x:c r="B12" s="22" t="str">
        <x:v>event_id；project_id；事件日；类型；已知事实；后续</x:v>
      </x:c>
      <x:c r="C12" s="22" t="str">
        <x:v>允许一个成功项目后来出现争议或停止</x:v>
      </x:c>
      <x:c r="D12" s="22" t="str">
        <x:v>声明、可靠报道、主管部门或司法文件</x:v>
      </x:c>
      <x:c r="E12" s="22" t="str">
        <x:v>如未取得原判决，明确是媒体/声明转述</x:v>
      </x:c>
      <x:c r="F12" s="22" t="str">
        <x:v>合作终止≠自动商业失败；持续追加新证据</x:v>
      </x:c>
    </x:row>
    <x:row r="13" ht="100" customHeight="1">
      <x:c r="A13" s="22" t="str">
        <x:v>匹配研究表</x:v>
      </x:c>
      <x:c r="B13" s="22" t="str">
        <x:v>brand_A/B；目标；假设；依据；未知项；测试；评分</x:v>
      </x:c>
      <x:c r="C13" s="22" t="str">
        <x:v>用于项目判断与下一步补证，不输出无依据成功率</x:v>
      </x:c>
      <x:c r="D13" s="22" t="str">
        <x:v>尽调表＋访谈＋试点</x:v>
      </x:c>
      <x:c r="E13" s="22" t="str">
        <x:v>可编辑权重不等于训练过的模型</x:v>
      </x:c>
      <x:c r="F13" s="22" t="str">
        <x:v>公开匹配潜力与现实合作意愿分开</x:v>
      </x:c>
    </x:row>
    <x:row r="16" ht="28" customHeight="1">
      <x:c r="A16" s="26" t="str">
        <x:v>证据等级与结论纪律</x:v>
      </x:c>
      <x:c r="B16" s="26"/>
      <x:c r="C16" s="26"/>
      <x:c r="D16" s="26"/>
      <x:c r="E16" s="26"/>
      <x:c r="F16" s="26"/>
    </x:row>
    <x:row r="18" ht="38" customHeight="1">
      <x:c r="A18" s="38" t="str">
        <x:v>A｜原始披露</x:v>
      </x:c>
      <x:c r="B18" s="38"/>
      <x:c r="C18" s="38" t="str">
        <x:v>品牌、公司财报、官方产品页或共同声明。证实其披露内容，不自动视为独立审计。</x:v>
      </x:c>
      <x:c r="D18" s="38"/>
      <x:c r="E18" s="38"/>
      <x:c r="F18" s="38"/>
    </x:row>
    <x:row r="19" ht="38" customHeight="1">
      <x:c r="A19" s="38" t="str">
        <x:v>B｜可靠报道</x:v>
      </x:c>
      <x:c r="B19" s="38"/>
      <x:c r="C19" s="38" t="str">
        <x:v>主流媒体、专业行业机构或直接采访；数字若转述品牌，仍保留原始来源属性。</x:v>
      </x:c>
      <x:c r="D19" s="38"/>
      <x:c r="E19" s="38"/>
      <x:c r="F19" s="38"/>
    </x:row>
    <x:row r="20" ht="38" customHeight="1">
      <x:c r="A20" s="38" t="str">
        <x:v>C｜推广或转述</x:v>
      </x:c>
      <x:c r="B20" s="38"/>
      <x:c r="C20" s="38" t="str">
        <x:v>推广稿、代理商案例及证据链较弱的转述；仅作线索或明确限定后的参考。</x:v>
      </x:c>
      <x:c r="D20" s="38"/>
      <x:c r="E20" s="38"/>
      <x:c r="F20" s="38"/>
    </x:row>
    <x:row r="21" ht="38" customHeight="1">
      <x:c r="A21" s="38" t="str">
        <x:v>销售表现有据</x:v>
      </x:c>
      <x:c r="B21" s="38"/>
      <x:c r="C21" s="38" t="str">
        <x:v>有销量、收入、出货或明确售罄报道；具体口径须查看，不等于利润验证。</x:v>
      </x:c>
      <x:c r="D21" s="38"/>
      <x:c r="E21" s="38"/>
      <x:c r="F21" s="38"/>
    </x:row>
    <x:row r="22" ht="38" customHeight="1">
      <x:c r="A22" s="38" t="str">
        <x:v>合作延续有据</x:v>
      </x:c>
      <x:c r="B22" s="38"/>
      <x:c r="C22" s="38" t="str">
        <x:v>有重复系列、续期或跨年产品；不能证明每期盈利。</x:v>
      </x:c>
      <x:c r="D22" s="38"/>
      <x:c r="E22" s="38"/>
      <x:c r="F22" s="38"/>
    </x:row>
    <x:row r="23" ht="38" customHeight="1">
      <x:c r="A23" s="38" t="str">
        <x:v>产品机制参考</x:v>
      </x:c>
      <x:c r="B23" s="38"/>
      <x:c r="C23" s="38" t="str">
        <x:v>产品或体验真实落地，但独立商业效果不足。</x:v>
      </x:c>
      <x:c r="D23" s="38"/>
      <x:c r="E23" s="38"/>
      <x:c r="F23" s="38"/>
    </x:row>
    <x:row r="24" ht="38" customHeight="1">
      <x:c r="A24" s="38" t="str">
        <x:v>商业受挫</x:v>
      </x:c>
      <x:c r="B24" s="38"/>
      <x:c r="C24" s="38" t="str">
        <x:v>存在销售低于预期、产品停止或经济模式不持续的较明确证据。</x:v>
      </x:c>
      <x:c r="D24" s="38"/>
      <x:c r="E24" s="38"/>
      <x:c r="F24" s="38"/>
    </x:row>
    <x:row r="25" ht="38" customHeight="1">
      <x:c r="A25" s="38" t="str">
        <x:v>风险与混合结果</x:v>
      </x:c>
      <x:c r="B25" s="38"/>
      <x:c r="C25" s="38" t="str">
        <x:v>涉及履约、声誉、授权、治理或退出；不一概称作财务失败。</x:v>
      </x:c>
      <x:c r="D25" s="38"/>
      <x:c r="E25" s="38"/>
      <x:c r="F25" s="38"/>
    </x:row>
    <x:row r="26" ht="38" customHeight="1">
      <x:c r="A26" s="38" t="str">
        <x:v>样本偏差</x:v>
      </x:c>
      <x:c r="B26" s="38"/>
      <x:c r="C26" s="38" t="str">
        <x:v>这是为研究机制选取的60例，不是随机样本；不能用5/60计算联名行业失败率。</x:v>
      </x:c>
      <x:c r="D26" s="38"/>
      <x:c r="E26" s="38"/>
      <x:c r="F26" s="38"/>
    </x:row>
    <x:row r="27" ht="38" customHeight="1">
      <x:c r="A27" s="38" t="str">
        <x:v>更新与反证</x:v>
      </x:c>
      <x:c r="B27" s="38"/>
      <x:c r="C27" s="38" t="str">
        <x:v>任何结论都保留可推翻它的证据需求；负面事件与后续纠正按时间追加。</x:v>
      </x:c>
      <x:c r="D27" s="38"/>
      <x:c r="E27" s="38"/>
      <x:c r="F27" s="38"/>
    </x:row>
    <x:row r="30" ht="22" customHeight="1">
      <x:c r="A30" s="7" t="str">
        <x:v>研究参考：Simonin &amp; Ruth (1998), Journal of Marketing Research。品牌联盟评价可能影响各参与品牌，且影响不必对称。用于提醒双边评估，不据此推导本评分权重。</x:v>
      </x:c>
      <x:c r="B30" s="7"/>
      <x:c r="C30" s="7"/>
      <x:c r="D30" s="7"/>
      <x:c r="E30" s="7"/>
      <x:c r="F30" s="7"/>
    </x:row>
    <x:row r="31" ht="22" customHeight="1">
      <x:c r="A31" s="7"/>
      <x:c r="B31" s="7"/>
      <x:c r="C31" s="7"/>
      <x:c r="D31" s="7"/>
      <x:c r="E31" s="7"/>
      <x:c r="F31" s="7"/>
    </x:row>
    <x:row r="32">
      <x:c r="A32" t="str">
        <x:v>https://journals.sagepub.com/doi/abs/10.1177/002224379803500105</x:v>
      </x:c>
    </x:row>
  </x:sheetData>
  <x:mergeCells>
    <x:mergeCell ref="A1:F1"/>
    <x:mergeCell ref="A2:F3"/>
    <x:mergeCell ref="A16:F16"/>
    <x:mergeCell ref="A18:B18"/>
    <x:mergeCell ref="C18:F18"/>
    <x:mergeCell ref="A19:B19"/>
    <x:mergeCell ref="C19:F19"/>
    <x:mergeCell ref="A20:B20"/>
    <x:mergeCell ref="C20:F20"/>
    <x:mergeCell ref="A21:B21"/>
    <x:mergeCell ref="C21:F21"/>
    <x:mergeCell ref="A22:B22"/>
    <x:mergeCell ref="C22:F22"/>
    <x:mergeCell ref="A23:B23"/>
    <x:mergeCell ref="C23:F23"/>
    <x:mergeCell ref="A24:B24"/>
    <x:mergeCell ref="C24:F24"/>
    <x:mergeCell ref="A25:B25"/>
    <x:mergeCell ref="C25:F25"/>
    <x:mergeCell ref="A26:B26"/>
    <x:mergeCell ref="C26:F26"/>
    <x:mergeCell ref="A27:B27"/>
    <x:mergeCell ref="C27:F27"/>
    <x:mergeCell ref="A30:F31"/>
    <x:mergeCell ref="A32:F32"/>
  </x:mergeCells>
  <x:pageMargins left="0.7" right="0.7" top="0.75" bottom="0.75" header="0.3" footer="0.3"/>
  <x:tableParts count="1">
    <x:tablePart xmlns:r="http://schemas.openxmlformats.org/officeDocument/2006/relationships" r:id="R528be7a880c24d1a"/>
  </x:tableParts>
</x:worksheet>
</file>